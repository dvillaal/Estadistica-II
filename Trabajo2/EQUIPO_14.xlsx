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UARIO\Documents\Universidad\Estadística II\Trabajo2\"/>
    </mc:Choice>
  </mc:AlternateContent>
  <xr:revisionPtr revIDLastSave="0" documentId="8_{BAB923D2-66F7-4E35-80BF-8F6CD99CCB6D}" xr6:coauthVersionLast="47" xr6:coauthVersionMax="47" xr10:uidLastSave="{00000000-0000-0000-0000-000000000000}"/>
  <bookViews>
    <workbookView xWindow="-20610" yWindow="6405" windowWidth="20730" windowHeight="11760" xr2:uid="{44FD122A-E047-4C01-888B-1531F28786FF}"/>
  </bookViews>
  <sheets>
    <sheet name="Información" sheetId="1" r:id="rId1"/>
    <sheet name="Primer_punto" sheetId="2" r:id="rId2"/>
    <sheet name="Segundo_punto" sheetId="4" r:id="rId3"/>
    <sheet name="Tercer_punto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4" l="1"/>
  <c r="D24" i="4"/>
  <c r="D20" i="4"/>
  <c r="D16" i="4"/>
  <c r="D21" i="2"/>
  <c r="D17" i="2"/>
  <c r="D12" i="2"/>
  <c r="D8" i="2"/>
</calcChain>
</file>

<file path=xl/sharedStrings.xml><?xml version="1.0" encoding="utf-8"?>
<sst xmlns="http://schemas.openxmlformats.org/spreadsheetml/2006/main" count="51" uniqueCount="35">
  <si>
    <r>
      <rPr>
        <b/>
        <sz val="16"/>
        <color theme="1"/>
        <rFont val="Calibri"/>
        <family val="2"/>
      </rPr>
      <t>Instrucción:</t>
    </r>
    <r>
      <rPr>
        <sz val="16"/>
        <color theme="1"/>
        <rFont val="Calibri"/>
        <family val="2"/>
      </rPr>
      <t xml:space="preserve"> Coloque la información requerida en la celda azul.</t>
    </r>
  </si>
  <si>
    <t>(1). Se tomará en cuenta cierto nivel de precisión (4 cifras decimales)</t>
  </si>
  <si>
    <t>Equipo</t>
  </si>
  <si>
    <t>Integrantes</t>
  </si>
  <si>
    <t>Respuesta</t>
  </si>
  <si>
    <t>Variable</t>
  </si>
  <si>
    <t>Interpretación</t>
  </si>
  <si>
    <r>
      <rPr>
        <b/>
        <sz val="16"/>
        <color theme="1"/>
        <rFont val="Calibri"/>
        <family val="2"/>
      </rPr>
      <t>Nota:</t>
    </r>
    <r>
      <rPr>
        <sz val="16"/>
        <color theme="1"/>
        <rFont val="Calibri"/>
        <family val="2"/>
      </rPr>
      <t xml:space="preserve"> Considerar únicamente estrato 1</t>
    </r>
  </si>
  <si>
    <t>Estrato</t>
  </si>
  <si>
    <r>
      <rPr>
        <b/>
        <sz val="16"/>
        <color theme="1"/>
        <rFont val="Calibri"/>
        <family val="2"/>
      </rPr>
      <t>Nota:</t>
    </r>
    <r>
      <rPr>
        <sz val="16"/>
        <color theme="1"/>
        <rFont val="Calibri"/>
        <family val="2"/>
      </rPr>
      <t xml:space="preserve"> Las interpretaciones deben darse</t>
    </r>
  </si>
  <si>
    <t>en el contexto de estudio.</t>
  </si>
  <si>
    <t>Comentario tamaño muestral</t>
  </si>
  <si>
    <t>I_HOGAR</t>
  </si>
  <si>
    <t>CAR</t>
  </si>
  <si>
    <t>Población</t>
  </si>
  <si>
    <t>David Villa Alzate</t>
  </si>
  <si>
    <t>Con una confianza del 90%, se puede determinar que el ingreso promedio de los hogares estrato 1 comprendidos en la ECV del año 2022 está dado por encima de 1244839.5263</t>
  </si>
  <si>
    <t>Con una confianza del 90%, se puede determinar que el ingreso promedio de los hogares estrato 1 comprendidos en la ECV del año 2022 está dado por debajo de 1353467.1636</t>
  </si>
  <si>
    <t>Con una confianza del 90%, se puede determinar que el ingreso total de los hogares estrato 1 comprendidos en la ECV del año 2023 está dado por encima de 54271268829.4274</t>
  </si>
  <si>
    <t>Con una confianza del 90%, se puede determinar que el ingreso total de los hogares estrato 1 comprendidos en la ECV del año 2023 está dado por encima de 59007107932.9785</t>
  </si>
  <si>
    <t>Con una confianza del 90%, se puede determinar que la proporción de los hogares estrato 1 que tienen carro, comprendidos en la ECV del año 2023 está dado por encima de 0.0168</t>
  </si>
  <si>
    <t>Con una confianza del 90%, se puede determinar que la proporción de los hogares estrato 1 que tienen carro, comprendidos en la ECV del año 2023 está dado por encima de 0.0229</t>
  </si>
  <si>
    <t>Con una confianza del 90%, se puede determinar que el total hogares estrato 1 comprendidos en la ECV del año 2023 que tienen carro está dado por encima de 733.8822</t>
  </si>
  <si>
    <t>Con una confianza del 90%, se puede determinar que el total hogares estrato 1 comprendidos en la ECV del año 2023 que tienen carro está dado por encima de 997.6541</t>
  </si>
  <si>
    <t>Con una confianza del 95%, se puede determinar que el ingreso promedio de los hogares estrato 1 comprendidos en la ECV del año 2022 está dado por encima de 1234430.8232</t>
  </si>
  <si>
    <t>Con una confianza del 95%, se puede determinar que el ingreso promedio de los hogares estrato 1 comprendidos en la ECV del año 2022 está dado por debajo de 1363875.8668</t>
  </si>
  <si>
    <t>Con una confianza del 95%, se puede determinar que el ingreso promedio de los hogares estrato 2 comprendidos en la ECV del año 2022 está dado por encima de 2203824.2836</t>
  </si>
  <si>
    <t>Con una confianza del 95%, se puede determinar que el ingreso promedio de los hogares estrato 2 comprendidos en la ECV del año 2022 está dado por debajo de 2568422.1235</t>
  </si>
  <si>
    <t>Con una confianza del 95%, se puede determinar que el ingreso promedio de los hogares estrato 3 comprendidos en la ECV del año 2022 está dado por encima de 5891864.0689</t>
  </si>
  <si>
    <t>Con una confianza del 95%, se puede determinar que el ingreso promedio de los hogares estrato 3 comprendidos en la ECV del año 2022 está dado por debajo de 7107289.4511</t>
  </si>
  <si>
    <t>Con una confianza del 95%, se puede determinar que el ingreso promedio de los hogares comprendidos en la ECV del año 2022 está dado por encima de 1908782.0579</t>
  </si>
  <si>
    <t>Con una confianza del 95%, se puede determinar que el ingreso promedio de los hogares comprendidos en la ECV del año 2022 está dado por debajo de 2092537.4089</t>
  </si>
  <si>
    <t>María Elena Pineda Acevedo</t>
  </si>
  <si>
    <t>Orlando Zuluaga Parra</t>
  </si>
  <si>
    <t xml:space="preserve">Thomas Torres Rodríguez, Camila Andrea Rojas Quipo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</si>
</sst>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i/>
      <sz val="16"/>
      <color theme="1"/>
      <name val="Calibri"/>
      <family val="2"/>
    </font>
    <font>
      <sz val="1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Protection="1">
      <protection locked="0"/>
    </xf>
    <xf numFmtId="0" fontId="1" fillId="2" borderId="0" xfId="0" applyFont="1" applyFill="1"/>
    <xf numFmtId="0" fontId="2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2" borderId="0" xfId="0" applyFont="1" applyFill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0" xfId="0" applyFont="1" applyFill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164" fontId="1" fillId="3" borderId="1" xfId="0" applyNumberFormat="1" applyFont="1" applyFill="1" applyBorder="1" applyProtection="1">
      <protection locked="0"/>
    </xf>
    <xf numFmtId="164" fontId="4" fillId="3" borderId="1" xfId="0" applyNumberFormat="1" applyFont="1" applyFill="1" applyBorder="1" applyProtection="1"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41275</xdr:colOff>
      <xdr:row>1</xdr:row>
      <xdr:rowOff>6350</xdr:rowOff>
    </xdr:from>
    <xdr:ext cx="291042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9E3807E-3BF5-68A6-0DFE-2D7CA6B8609D}"/>
                </a:ext>
              </a:extLst>
            </xdr:cNvPr>
            <xdr:cNvSpPr txBox="1"/>
          </xdr:nvSpPr>
          <xdr:spPr>
            <a:xfrm>
              <a:off x="1425575" y="273050"/>
              <a:ext cx="291042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𝑵</m:t>
                        </m:r>
                      </m:e>
                      <m:sub>
                        <m:r>
                          <a:rPr lang="es-CO" sz="16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6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9E3807E-3BF5-68A6-0DFE-2D7CA6B8609D}"/>
                </a:ext>
              </a:extLst>
            </xdr:cNvPr>
            <xdr:cNvSpPr txBox="1"/>
          </xdr:nvSpPr>
          <xdr:spPr>
            <a:xfrm>
              <a:off x="1425575" y="273050"/>
              <a:ext cx="291042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1" i="0">
                  <a:latin typeface="Cambria Math" panose="02040503050406030204" pitchFamily="18" charset="0"/>
                </a:rPr>
                <a:t>𝑵</a:t>
              </a:r>
              <a:r>
                <a:rPr lang="en-US" sz="16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s-CO" sz="1600" b="1" i="0">
                  <a:latin typeface="Cambria Math" panose="02040503050406030204" pitchFamily="18" charset="0"/>
                </a:rPr>
                <a:t>𝟏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22225</xdr:colOff>
      <xdr:row>2</xdr:row>
      <xdr:rowOff>0</xdr:rowOff>
    </xdr:from>
    <xdr:ext cx="338554" cy="5033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FABA7BC-E3FD-25A6-61B8-7CB15C007E6D}"/>
                </a:ext>
              </a:extLst>
            </xdr:cNvPr>
            <xdr:cNvSpPr txBox="1"/>
          </xdr:nvSpPr>
          <xdr:spPr>
            <a:xfrm>
              <a:off x="1406525" y="533400"/>
              <a:ext cx="338554" cy="5033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6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𝒏</m:t>
                        </m:r>
                      </m:e>
                      <m:sub>
                        <m:r>
                          <a:rPr lang="es-CO" sz="16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s-CO" sz="1600" b="1"/>
            </a:p>
            <a:p>
              <a:endParaRPr lang="en-US" sz="1600" b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FABA7BC-E3FD-25A6-61B8-7CB15C007E6D}"/>
                </a:ext>
              </a:extLst>
            </xdr:cNvPr>
            <xdr:cNvSpPr txBox="1"/>
          </xdr:nvSpPr>
          <xdr:spPr>
            <a:xfrm>
              <a:off x="1406525" y="533400"/>
              <a:ext cx="338554" cy="5033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1" i="0">
                  <a:latin typeface="Cambria Math" panose="02040503050406030204" pitchFamily="18" charset="0"/>
                </a:rPr>
                <a:t>𝒏</a:t>
              </a:r>
              <a:r>
                <a:rPr lang="es-CO" sz="1600" b="1" i="0">
                  <a:latin typeface="Cambria Math" panose="02040503050406030204" pitchFamily="18" charset="0"/>
                </a:rPr>
                <a:t>_𝟏</a:t>
              </a:r>
              <a:endParaRPr lang="es-CO" sz="1600" b="1"/>
            </a:p>
            <a:p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53975</xdr:colOff>
      <xdr:row>3</xdr:row>
      <xdr:rowOff>12700</xdr:rowOff>
    </xdr:from>
    <xdr:ext cx="174791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4DDE1CA-8C50-F536-A717-7C92D02775EF}"/>
                </a:ext>
              </a:extLst>
            </xdr:cNvPr>
            <xdr:cNvSpPr txBox="1"/>
          </xdr:nvSpPr>
          <xdr:spPr>
            <a:xfrm>
              <a:off x="1273175" y="812800"/>
              <a:ext cx="174791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1" i="1">
                        <a:latin typeface="Cambria Math" panose="02040503050406030204" pitchFamily="18" charset="0"/>
                      </a:rPr>
                      <m:t>𝜶</m:t>
                    </m:r>
                  </m:oMath>
                </m:oMathPara>
              </a14:m>
              <a:endParaRPr lang="en-US" sz="16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4DDE1CA-8C50-F536-A717-7C92D02775EF}"/>
                </a:ext>
              </a:extLst>
            </xdr:cNvPr>
            <xdr:cNvSpPr txBox="1"/>
          </xdr:nvSpPr>
          <xdr:spPr>
            <a:xfrm>
              <a:off x="1273175" y="812800"/>
              <a:ext cx="174791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1" i="0">
                  <a:latin typeface="Cambria Math" panose="02040503050406030204" pitchFamily="18" charset="0"/>
                </a:rPr>
                <a:t>𝜶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47625</xdr:colOff>
      <xdr:row>3</xdr:row>
      <xdr:rowOff>260350</xdr:rowOff>
    </xdr:from>
    <xdr:ext cx="810671" cy="26738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C2FA7BE-3881-C2EA-4F27-89BF5C262815}"/>
                </a:ext>
              </a:extLst>
            </xdr:cNvPr>
            <xdr:cNvSpPr txBox="1"/>
          </xdr:nvSpPr>
          <xdr:spPr>
            <a:xfrm>
              <a:off x="1431925" y="1060450"/>
              <a:ext cx="810671" cy="2673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1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1" i="1">
                            <a:latin typeface="Cambria Math" panose="02040503050406030204" pitchFamily="18" charset="0"/>
                          </a:rPr>
                          <m:t>𝒕</m:t>
                        </m:r>
                      </m:e>
                      <m:sub>
                        <m:f>
                          <m:fPr>
                            <m:type m:val="lin"/>
                            <m:ctrlPr>
                              <a:rPr lang="en-US" sz="16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600" b="1" i="1">
                                <a:latin typeface="Cambria Math" panose="02040503050406030204" pitchFamily="18" charset="0"/>
                              </a:rPr>
                              <m:t>𝜶</m:t>
                            </m:r>
                          </m:num>
                          <m:den>
                            <m:r>
                              <a:rPr lang="en-US" sz="160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den>
                        </m:f>
                        <m:r>
                          <a:rPr lang="en-US" sz="1600" b="1" i="0">
                            <a:latin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es-CO" sz="16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1" i="1">
                                <a:latin typeface="Cambria Math" panose="02040503050406030204" pitchFamily="18" charset="0"/>
                              </a:rPr>
                              <m:t>𝒏</m:t>
                            </m:r>
                          </m:e>
                          <m:sub>
                            <m:r>
                              <a:rPr lang="es-CO" sz="16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en-US" sz="1600" b="1" i="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600" b="1" i="0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600" b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C2FA7BE-3881-C2EA-4F27-89BF5C262815}"/>
                </a:ext>
              </a:extLst>
            </xdr:cNvPr>
            <xdr:cNvSpPr txBox="1"/>
          </xdr:nvSpPr>
          <xdr:spPr>
            <a:xfrm>
              <a:off x="1431925" y="1060450"/>
              <a:ext cx="810671" cy="2673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1" i="0">
                  <a:latin typeface="Cambria Math" panose="02040503050406030204" pitchFamily="18" charset="0"/>
                </a:rPr>
                <a:t>𝒕</a:t>
              </a:r>
              <a:r>
                <a:rPr lang="en-US" sz="16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_(</a:t>
              </a:r>
              <a:r>
                <a:rPr lang="en-US" sz="1600" b="1" i="0">
                  <a:latin typeface="Cambria Math" panose="02040503050406030204" pitchFamily="18" charset="0"/>
                </a:rPr>
                <a:t>𝜶∕𝟐,𝒏</a:t>
              </a:r>
              <a:r>
                <a:rPr lang="es-CO" sz="1600" b="1" i="0">
                  <a:latin typeface="Cambria Math" panose="02040503050406030204" pitchFamily="18" charset="0"/>
                </a:rPr>
                <a:t>_𝟏</a:t>
              </a:r>
              <a:r>
                <a:rPr lang="en-US" sz="1600" b="1" i="0">
                  <a:latin typeface="Cambria Math" panose="02040503050406030204" pitchFamily="18" charset="0"/>
                </a:rPr>
                <a:t>−𝟏</a:t>
              </a:r>
              <a:r>
                <a:rPr lang="en-US" sz="1600" b="1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15875</xdr:colOff>
      <xdr:row>6</xdr:row>
      <xdr:rowOff>12700</xdr:rowOff>
    </xdr:from>
    <xdr:ext cx="381643" cy="5033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5B080B4-31FD-DCDC-FC19-CF4E09EE7FEA}"/>
                </a:ext>
              </a:extLst>
            </xdr:cNvPr>
            <xdr:cNvSpPr txBox="1"/>
          </xdr:nvSpPr>
          <xdr:spPr>
            <a:xfrm>
              <a:off x="1482725" y="1612900"/>
              <a:ext cx="381643" cy="5033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s-CO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s-CO" sz="160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O" sz="16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𝝁</m:t>
                            </m:r>
                          </m:e>
                        </m:acc>
                      </m:e>
                      <m:sub>
                        <m:r>
                          <a:rPr lang="es-CO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s-CO" sz="1600" b="1">
                <a:ea typeface="Cambria Math" panose="02040503050406030204" pitchFamily="18" charset="0"/>
              </a:endParaRPr>
            </a:p>
            <a:p>
              <a:endParaRPr lang="en-US" sz="1600" b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5B080B4-31FD-DCDC-FC19-CF4E09EE7FEA}"/>
                </a:ext>
              </a:extLst>
            </xdr:cNvPr>
            <xdr:cNvSpPr txBox="1"/>
          </xdr:nvSpPr>
          <xdr:spPr>
            <a:xfrm>
              <a:off x="1482725" y="1612900"/>
              <a:ext cx="381643" cy="5033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600" b="1" i="0">
                  <a:latin typeface="Cambria Math" panose="02040503050406030204" pitchFamily="18" charset="0"/>
                </a:rPr>
                <a:t> </a:t>
              </a:r>
              <a:r>
                <a:rPr lang="es-CO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𝝁 ̂_𝟏</a:t>
              </a:r>
              <a:endParaRPr lang="es-CO" sz="1600" b="1">
                <a:ea typeface="Cambria Math" panose="02040503050406030204" pitchFamily="18" charset="0"/>
              </a:endParaRPr>
            </a:p>
            <a:p>
              <a:pPr/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19050</xdr:colOff>
      <xdr:row>10</xdr:row>
      <xdr:rowOff>12700</xdr:rowOff>
    </xdr:from>
    <xdr:ext cx="355675" cy="5033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815A854-2CA9-4946-99B5-2C37B65435A2}"/>
                </a:ext>
              </a:extLst>
            </xdr:cNvPr>
            <xdr:cNvSpPr txBox="1"/>
          </xdr:nvSpPr>
          <xdr:spPr>
            <a:xfrm>
              <a:off x="1485900" y="2679700"/>
              <a:ext cx="355675" cy="5033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s-CO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s-CO" sz="160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O" sz="16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𝝉</m:t>
                            </m:r>
                          </m:e>
                        </m:acc>
                      </m:e>
                      <m:sub>
                        <m:r>
                          <a:rPr lang="es-CO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s-CO" sz="1600" b="1">
                <a:ea typeface="Cambria Math" panose="02040503050406030204" pitchFamily="18" charset="0"/>
              </a:endParaRPr>
            </a:p>
            <a:p>
              <a:endParaRPr lang="en-US" sz="1600" b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F815A854-2CA9-4946-99B5-2C37B65435A2}"/>
                </a:ext>
              </a:extLst>
            </xdr:cNvPr>
            <xdr:cNvSpPr txBox="1"/>
          </xdr:nvSpPr>
          <xdr:spPr>
            <a:xfrm>
              <a:off x="1485900" y="2679700"/>
              <a:ext cx="355675" cy="5033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600" b="1" i="0">
                  <a:latin typeface="Cambria Math" panose="02040503050406030204" pitchFamily="18" charset="0"/>
                </a:rPr>
                <a:t> </a:t>
              </a:r>
              <a:r>
                <a:rPr lang="es-CO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𝝉 ̂_𝟏</a:t>
              </a:r>
              <a:endParaRPr lang="es-CO" sz="1600" b="1">
                <a:ea typeface="Cambria Math" panose="02040503050406030204" pitchFamily="18" charset="0"/>
              </a:endParaRPr>
            </a:p>
            <a:p>
              <a:pPr/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12700</xdr:colOff>
      <xdr:row>14</xdr:row>
      <xdr:rowOff>247650</xdr:rowOff>
    </xdr:from>
    <xdr:ext cx="378565" cy="5033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659B6CC-3C32-4F1E-A995-F6849D36217E}"/>
                </a:ext>
              </a:extLst>
            </xdr:cNvPr>
            <xdr:cNvSpPr txBox="1"/>
          </xdr:nvSpPr>
          <xdr:spPr>
            <a:xfrm>
              <a:off x="1479550" y="3981450"/>
              <a:ext cx="378565" cy="5033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s-CO" sz="16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s-CO" sz="160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O" sz="1600" b="1" i="1">
                                <a:latin typeface="Cambria Math" panose="02040503050406030204" pitchFamily="18" charset="0"/>
                              </a:rPr>
                              <m:t>𝒑</m:t>
                            </m:r>
                          </m:e>
                        </m:acc>
                      </m:e>
                      <m:sub>
                        <m:r>
                          <a:rPr lang="es-CO" sz="16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s-CO" sz="1600" b="1"/>
            </a:p>
            <a:p>
              <a:endParaRPr lang="en-US" sz="1600" b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659B6CC-3C32-4F1E-A995-F6849D36217E}"/>
                </a:ext>
              </a:extLst>
            </xdr:cNvPr>
            <xdr:cNvSpPr txBox="1"/>
          </xdr:nvSpPr>
          <xdr:spPr>
            <a:xfrm>
              <a:off x="1479550" y="3981450"/>
              <a:ext cx="378565" cy="5033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600" b="1" i="0">
                  <a:latin typeface="Cambria Math" panose="02040503050406030204" pitchFamily="18" charset="0"/>
                </a:rPr>
                <a:t> 𝒑 ̂_𝟏</a:t>
              </a:r>
              <a:endParaRPr lang="es-CO" sz="1600" b="1"/>
            </a:p>
            <a:p>
              <a:pPr/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12700</xdr:colOff>
      <xdr:row>19</xdr:row>
      <xdr:rowOff>12700</xdr:rowOff>
    </xdr:from>
    <xdr:ext cx="386965" cy="516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CC3400D-D1D4-4B6E-B29B-685A88188716}"/>
                </a:ext>
              </a:extLst>
            </xdr:cNvPr>
            <xdr:cNvSpPr txBox="1"/>
          </xdr:nvSpPr>
          <xdr:spPr>
            <a:xfrm>
              <a:off x="1479550" y="5080000"/>
              <a:ext cx="386965" cy="516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s-CO" sz="16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s-CO" sz="160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O" sz="1600" b="1" i="1">
                                <a:latin typeface="Cambria Math" panose="02040503050406030204" pitchFamily="18" charset="0"/>
                              </a:rPr>
                              <m:t>𝑨</m:t>
                            </m:r>
                          </m:e>
                        </m:acc>
                      </m:e>
                      <m:sub>
                        <m:r>
                          <a:rPr lang="es-CO" sz="16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s-CO" sz="1600" b="1"/>
            </a:p>
            <a:p>
              <a:endParaRPr lang="en-US" sz="1600" b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CC3400D-D1D4-4B6E-B29B-685A88188716}"/>
                </a:ext>
              </a:extLst>
            </xdr:cNvPr>
            <xdr:cNvSpPr txBox="1"/>
          </xdr:nvSpPr>
          <xdr:spPr>
            <a:xfrm>
              <a:off x="1479550" y="5080000"/>
              <a:ext cx="386965" cy="516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600" b="1" i="0">
                  <a:latin typeface="Cambria Math" panose="02040503050406030204" pitchFamily="18" charset="0"/>
                </a:rPr>
                <a:t> 𝑨 ̂_𝟏</a:t>
              </a:r>
              <a:endParaRPr lang="es-CO" sz="1600" b="1"/>
            </a:p>
            <a:p>
              <a:pPr/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47625</xdr:colOff>
      <xdr:row>8</xdr:row>
      <xdr:rowOff>0</xdr:rowOff>
    </xdr:from>
    <xdr:ext cx="242567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AAA3E97-2D13-6A24-8B63-89DEA33A095D}"/>
                </a:ext>
              </a:extLst>
            </xdr:cNvPr>
            <xdr:cNvSpPr txBox="1"/>
          </xdr:nvSpPr>
          <xdr:spPr>
            <a:xfrm>
              <a:off x="657225" y="1600200"/>
              <a:ext cx="242567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𝑳𝑰</m:t>
                    </m:r>
                  </m:oMath>
                </m:oMathPara>
              </a14:m>
              <a:endParaRPr lang="es-CO" sz="1800" b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AAA3E97-2D13-6A24-8B63-89DEA33A095D}"/>
                </a:ext>
              </a:extLst>
            </xdr:cNvPr>
            <xdr:cNvSpPr txBox="1"/>
          </xdr:nvSpPr>
          <xdr:spPr>
            <a:xfrm>
              <a:off x="657225" y="1600200"/>
              <a:ext cx="242567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𝑳𝑰</a:t>
              </a:r>
              <a:endParaRPr lang="es-CO" sz="1800" b="1"/>
            </a:p>
          </xdr:txBody>
        </xdr:sp>
      </mc:Fallback>
    </mc:AlternateContent>
    <xdr:clientData/>
  </xdr:oneCellAnchor>
  <xdr:oneCellAnchor>
    <xdr:from>
      <xdr:col>2</xdr:col>
      <xdr:colOff>47625</xdr:colOff>
      <xdr:row>8</xdr:row>
      <xdr:rowOff>254000</xdr:rowOff>
    </xdr:from>
    <xdr:ext cx="26962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83E5925-D3B2-CA13-091E-EBC197C6051D}"/>
                </a:ext>
              </a:extLst>
            </xdr:cNvPr>
            <xdr:cNvSpPr txBox="1"/>
          </xdr:nvSpPr>
          <xdr:spPr>
            <a:xfrm>
              <a:off x="657225" y="1854200"/>
              <a:ext cx="26962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𝑳𝑺</m:t>
                    </m:r>
                  </m:oMath>
                </m:oMathPara>
              </a14:m>
              <a:endParaRPr lang="es-CO" sz="1800" b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83E5925-D3B2-CA13-091E-EBC197C6051D}"/>
                </a:ext>
              </a:extLst>
            </xdr:cNvPr>
            <xdr:cNvSpPr txBox="1"/>
          </xdr:nvSpPr>
          <xdr:spPr>
            <a:xfrm>
              <a:off x="657225" y="1854200"/>
              <a:ext cx="26962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𝑳𝑺</a:t>
              </a:r>
              <a:endParaRPr lang="es-CO" sz="1800" b="1"/>
            </a:p>
          </xdr:txBody>
        </xdr:sp>
      </mc:Fallback>
    </mc:AlternateContent>
    <xdr:clientData/>
  </xdr:oneCellAnchor>
  <xdr:oneCellAnchor>
    <xdr:from>
      <xdr:col>2</xdr:col>
      <xdr:colOff>41275</xdr:colOff>
      <xdr:row>12</xdr:row>
      <xdr:rowOff>19050</xdr:rowOff>
    </xdr:from>
    <xdr:ext cx="242567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579738D-14E7-19B4-1EAC-5028C53C4480}"/>
                </a:ext>
              </a:extLst>
            </xdr:cNvPr>
            <xdr:cNvSpPr txBox="1"/>
          </xdr:nvSpPr>
          <xdr:spPr>
            <a:xfrm>
              <a:off x="650875" y="2419350"/>
              <a:ext cx="242567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𝑳𝑰</m:t>
                    </m:r>
                  </m:oMath>
                </m:oMathPara>
              </a14:m>
              <a:endParaRPr lang="en-US" sz="1600" b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579738D-14E7-19B4-1EAC-5028C53C4480}"/>
                </a:ext>
              </a:extLst>
            </xdr:cNvPr>
            <xdr:cNvSpPr txBox="1"/>
          </xdr:nvSpPr>
          <xdr:spPr>
            <a:xfrm>
              <a:off x="650875" y="2419350"/>
              <a:ext cx="242567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𝑳𝑰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41275</xdr:colOff>
      <xdr:row>12</xdr:row>
      <xdr:rowOff>260350</xdr:rowOff>
    </xdr:from>
    <xdr:ext cx="269625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EFEC3FF-9BF5-8B05-29FB-D7FECFE73487}"/>
                </a:ext>
              </a:extLst>
            </xdr:cNvPr>
            <xdr:cNvSpPr txBox="1"/>
          </xdr:nvSpPr>
          <xdr:spPr>
            <a:xfrm>
              <a:off x="650875" y="2660650"/>
              <a:ext cx="269625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𝑳𝑺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EFEC3FF-9BF5-8B05-29FB-D7FECFE73487}"/>
                </a:ext>
              </a:extLst>
            </xdr:cNvPr>
            <xdr:cNvSpPr txBox="1"/>
          </xdr:nvSpPr>
          <xdr:spPr>
            <a:xfrm>
              <a:off x="650875" y="2660650"/>
              <a:ext cx="269625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𝑳𝑺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2</xdr:col>
      <xdr:colOff>41275</xdr:colOff>
      <xdr:row>17</xdr:row>
      <xdr:rowOff>38100</xdr:rowOff>
    </xdr:from>
    <xdr:ext cx="24256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8E6C631-F4B8-6FA0-ABB7-60FAF2D02650}"/>
                </a:ext>
              </a:extLst>
            </xdr:cNvPr>
            <xdr:cNvSpPr txBox="1"/>
          </xdr:nvSpPr>
          <xdr:spPr>
            <a:xfrm>
              <a:off x="650875" y="3238500"/>
              <a:ext cx="24256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𝑳𝑰</m:t>
                    </m:r>
                  </m:oMath>
                </m:oMathPara>
              </a14:m>
              <a:endParaRPr lang="en-US" sz="1600" b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8E6C631-F4B8-6FA0-ABB7-60FAF2D02650}"/>
                </a:ext>
              </a:extLst>
            </xdr:cNvPr>
            <xdr:cNvSpPr txBox="1"/>
          </xdr:nvSpPr>
          <xdr:spPr>
            <a:xfrm>
              <a:off x="650875" y="3238500"/>
              <a:ext cx="24256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𝑳𝑰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28575</xdr:colOff>
      <xdr:row>18</xdr:row>
      <xdr:rowOff>25400</xdr:rowOff>
    </xdr:from>
    <xdr:ext cx="26962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A115E1A-C81D-87D6-0035-BC02E9799B36}"/>
                </a:ext>
              </a:extLst>
            </xdr:cNvPr>
            <xdr:cNvSpPr txBox="1"/>
          </xdr:nvSpPr>
          <xdr:spPr>
            <a:xfrm>
              <a:off x="638175" y="3492500"/>
              <a:ext cx="26962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𝑳𝑺</m:t>
                    </m:r>
                  </m:oMath>
                </m:oMathPara>
              </a14:m>
              <a:endParaRPr lang="en-US" sz="1600" b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A115E1A-C81D-87D6-0035-BC02E9799B36}"/>
                </a:ext>
              </a:extLst>
            </xdr:cNvPr>
            <xdr:cNvSpPr txBox="1"/>
          </xdr:nvSpPr>
          <xdr:spPr>
            <a:xfrm>
              <a:off x="638175" y="3492500"/>
              <a:ext cx="26962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𝑳𝑺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22225</xdr:colOff>
      <xdr:row>21</xdr:row>
      <xdr:rowOff>25400</xdr:rowOff>
    </xdr:from>
    <xdr:ext cx="24256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DECEC71-8AB2-DC76-C02F-0D0A14AFE545}"/>
                </a:ext>
              </a:extLst>
            </xdr:cNvPr>
            <xdr:cNvSpPr txBox="1"/>
          </xdr:nvSpPr>
          <xdr:spPr>
            <a:xfrm>
              <a:off x="631825" y="4025900"/>
              <a:ext cx="24256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𝑳𝑰</m:t>
                    </m:r>
                  </m:oMath>
                </m:oMathPara>
              </a14:m>
              <a:endParaRPr lang="en-US" sz="1600" b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DECEC71-8AB2-DC76-C02F-0D0A14AFE545}"/>
                </a:ext>
              </a:extLst>
            </xdr:cNvPr>
            <xdr:cNvSpPr txBox="1"/>
          </xdr:nvSpPr>
          <xdr:spPr>
            <a:xfrm>
              <a:off x="631825" y="4025900"/>
              <a:ext cx="24256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𝑳𝑰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15875</xdr:colOff>
      <xdr:row>22</xdr:row>
      <xdr:rowOff>38100</xdr:rowOff>
    </xdr:from>
    <xdr:ext cx="26962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B9F3CA8-F830-0D16-7304-833BB76A39B8}"/>
                </a:ext>
              </a:extLst>
            </xdr:cNvPr>
            <xdr:cNvSpPr txBox="1"/>
          </xdr:nvSpPr>
          <xdr:spPr>
            <a:xfrm>
              <a:off x="625475" y="4305300"/>
              <a:ext cx="26962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𝑳𝑺</m:t>
                    </m:r>
                  </m:oMath>
                </m:oMathPara>
              </a14:m>
              <a:endParaRPr lang="en-US" sz="1600" b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B9F3CA8-F830-0D16-7304-833BB76A39B8}"/>
                </a:ext>
              </a:extLst>
            </xdr:cNvPr>
            <xdr:cNvSpPr txBox="1"/>
          </xdr:nvSpPr>
          <xdr:spPr>
            <a:xfrm>
              <a:off x="625475" y="4305300"/>
              <a:ext cx="26962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𝑳𝑺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15875</xdr:colOff>
      <xdr:row>6</xdr:row>
      <xdr:rowOff>260350</xdr:rowOff>
    </xdr:from>
    <xdr:ext cx="663387" cy="5033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D42A22B-7389-F8EB-2724-865C07BB1B7E}"/>
                </a:ext>
              </a:extLst>
            </xdr:cNvPr>
            <xdr:cNvSpPr txBox="1"/>
          </xdr:nvSpPr>
          <xdr:spPr>
            <a:xfrm>
              <a:off x="1482725" y="1860550"/>
              <a:ext cx="663387" cy="5033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s-CO" sz="1600" b="1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acc>
                          <m:accPr>
                            <m:chr m:val="̂"/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̂"/>
                                    <m:ctrlPr>
                                      <a:rPr lang="es-CO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es-CO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𝝁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acc>
                        <m:r>
                          <m:rPr>
                            <m:nor/>
                          </m:rPr>
                          <a:rPr lang="en-US" sz="1600">
                            <a:effectLst/>
                          </a:rPr>
                          <m:t> </m:t>
                        </m:r>
                      </m:e>
                    </m:rad>
                  </m:oMath>
                </m:oMathPara>
              </a14:m>
              <a:endParaRPr lang="es-CO" sz="1600" b="1"/>
            </a:p>
            <a:p>
              <a:endParaRPr lang="en-US" sz="1600" b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D42A22B-7389-F8EB-2724-865C07BB1B7E}"/>
                </a:ext>
              </a:extLst>
            </xdr:cNvPr>
            <xdr:cNvSpPr txBox="1"/>
          </xdr:nvSpPr>
          <xdr:spPr>
            <a:xfrm>
              <a:off x="1482725" y="1860550"/>
              <a:ext cx="663387" cy="5033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600" b="1" i="0">
                  <a:latin typeface="Cambria Math" panose="02040503050406030204" pitchFamily="18" charset="0"/>
                </a:rPr>
                <a:t>√(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(𝑽(𝝁 ̂_𝟏)) ̂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US" sz="1600" i="0">
                  <a:effectLst/>
                </a:rPr>
                <a:t> </a:t>
              </a:r>
              <a:r>
                <a:rPr lang="es-CO" sz="1600" b="1" i="0">
                  <a:effectLst/>
                  <a:latin typeface="Cambria Math" panose="02040503050406030204" pitchFamily="18" charset="0"/>
                </a:rPr>
                <a:t>" )</a:t>
              </a:r>
              <a:endParaRPr lang="es-CO" sz="1600" b="1"/>
            </a:p>
            <a:p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28575</xdr:colOff>
      <xdr:row>11</xdr:row>
      <xdr:rowOff>0</xdr:rowOff>
    </xdr:from>
    <xdr:ext cx="562141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53BB6553-DC3F-9858-FECE-0E3141553AC7}"/>
                </a:ext>
              </a:extLst>
            </xdr:cNvPr>
            <xdr:cNvSpPr txBox="1"/>
          </xdr:nvSpPr>
          <xdr:spPr>
            <a:xfrm>
              <a:off x="1495425" y="2933700"/>
              <a:ext cx="562141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acc>
                          <m:accPr>
                            <m:chr m:val="̂"/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̂"/>
                                    <m:ctrlPr>
                                      <a:rPr lang="es-CO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es-CO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𝝉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acc>
                        <m:r>
                          <m:rPr>
                            <m:nor/>
                          </m:rPr>
                          <a:rPr lang="en-US" sz="1600">
                            <a:effectLst/>
                          </a:rPr>
                          <m:t> 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53BB6553-DC3F-9858-FECE-0E3141553AC7}"/>
                </a:ext>
              </a:extLst>
            </xdr:cNvPr>
            <xdr:cNvSpPr txBox="1"/>
          </xdr:nvSpPr>
          <xdr:spPr>
            <a:xfrm>
              <a:off x="1495425" y="2933700"/>
              <a:ext cx="562141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(𝑽(𝝉 ̂_𝟏)) ̂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US" sz="1600" i="0">
                  <a:effectLst/>
                </a:rPr>
                <a:t> 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22225</xdr:colOff>
      <xdr:row>16</xdr:row>
      <xdr:rowOff>0</xdr:rowOff>
    </xdr:from>
    <xdr:ext cx="57778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F480C21-75C3-055A-F383-C4CD20437E32}"/>
                </a:ext>
              </a:extLst>
            </xdr:cNvPr>
            <xdr:cNvSpPr txBox="1"/>
          </xdr:nvSpPr>
          <xdr:spPr>
            <a:xfrm>
              <a:off x="1489075" y="4267200"/>
              <a:ext cx="57778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acc>
                          <m:accPr>
                            <m:chr m:val="̂"/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̂"/>
                                    <m:ctrlPr>
                                      <a:rPr lang="es-CO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es-CO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𝒑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acc>
                        <m:r>
                          <m:rPr>
                            <m:nor/>
                          </m:rPr>
                          <a:rPr lang="en-US" sz="1600">
                            <a:effectLst/>
                          </a:rPr>
                          <m:t> </m:t>
                        </m:r>
                      </m:e>
                    </m:rad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F480C21-75C3-055A-F383-C4CD20437E32}"/>
                </a:ext>
              </a:extLst>
            </xdr:cNvPr>
            <xdr:cNvSpPr txBox="1"/>
          </xdr:nvSpPr>
          <xdr:spPr>
            <a:xfrm>
              <a:off x="1489075" y="4267200"/>
              <a:ext cx="57778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(𝑽(𝒑 ̂_𝟏)) ̂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US" sz="1600" i="0">
                  <a:effectLst/>
                </a:rPr>
                <a:t> 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2</xdr:col>
      <xdr:colOff>3175</xdr:colOff>
      <xdr:row>19</xdr:row>
      <xdr:rowOff>241301</xdr:rowOff>
    </xdr:from>
    <xdr:ext cx="606425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268FA0B-7A92-054C-4A3B-168F84CBFAE2}"/>
                </a:ext>
              </a:extLst>
            </xdr:cNvPr>
            <xdr:cNvSpPr txBox="1"/>
          </xdr:nvSpPr>
          <xdr:spPr>
            <a:xfrm>
              <a:off x="1470025" y="5308601"/>
              <a:ext cx="606425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acc>
                          <m:accPr>
                            <m:chr m:val="̂"/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 </m:t>
                            </m:r>
                            <m:sSub>
                              <m:sSubPr>
                                <m:ctrlP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̂"/>
                                    <m:ctrlPr>
                                      <a:rPr lang="es-CO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es-CO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𝑨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  <m:r>
                              <m:rPr>
                                <m:nor/>
                              </m:r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acc>
                        <m:r>
                          <m:rPr>
                            <m:nor/>
                          </m:rPr>
                          <a:rPr lang="en-US">
                            <a:effectLst/>
                          </a:rPr>
                          <m:t> 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268FA0B-7A92-054C-4A3B-168F84CBFAE2}"/>
                </a:ext>
              </a:extLst>
            </xdr:cNvPr>
            <xdr:cNvSpPr txBox="1"/>
          </xdr:nvSpPr>
          <xdr:spPr>
            <a:xfrm>
              <a:off x="1470025" y="5308601"/>
              <a:ext cx="606425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(𝑽( 𝑨 ̂_𝟏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)) ̂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US" i="0">
                  <a:effectLst/>
                </a:rPr>
                <a:t> </a:t>
              </a:r>
              <a:r>
                <a:rPr lang="en-US" sz="1100" i="0">
                  <a:effectLst/>
                  <a:latin typeface="Cambria Math" panose="02040503050406030204" pitchFamily="18" charset="0"/>
                </a:rPr>
                <a:t>"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79375</xdr:colOff>
      <xdr:row>5</xdr:row>
      <xdr:rowOff>0</xdr:rowOff>
    </xdr:from>
    <xdr:ext cx="26558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1769B74E-9AD7-6928-FE91-4E0C5D6E5035}"/>
                </a:ext>
              </a:extLst>
            </xdr:cNvPr>
            <xdr:cNvSpPr txBox="1"/>
          </xdr:nvSpPr>
          <xdr:spPr>
            <a:xfrm>
              <a:off x="1546225" y="1333500"/>
              <a:ext cx="26558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6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600" b="1" i="1">
                            <a:latin typeface="Cambria Math" panose="02040503050406030204" pitchFamily="18" charset="0"/>
                          </a:rPr>
                          <m:t>𝝁</m:t>
                        </m:r>
                      </m:e>
                      <m:sub>
                        <m:r>
                          <a:rPr lang="es-CO" sz="1600" b="1" i="0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600" b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1769B74E-9AD7-6928-FE91-4E0C5D6E5035}"/>
                </a:ext>
              </a:extLst>
            </xdr:cNvPr>
            <xdr:cNvSpPr txBox="1"/>
          </xdr:nvSpPr>
          <xdr:spPr>
            <a:xfrm>
              <a:off x="1546225" y="1333500"/>
              <a:ext cx="26558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600" b="1" i="0">
                  <a:latin typeface="Cambria Math" panose="02040503050406030204" pitchFamily="18" charset="0"/>
                </a:rPr>
                <a:t>𝝁_𝟏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66675</xdr:colOff>
      <xdr:row>13</xdr:row>
      <xdr:rowOff>254001</xdr:rowOff>
    </xdr:from>
    <xdr:ext cx="333105" cy="279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DB7046C-3B26-0D90-BAF1-1B9E949E7EAD}"/>
                </a:ext>
              </a:extLst>
            </xdr:cNvPr>
            <xdr:cNvSpPr txBox="1"/>
          </xdr:nvSpPr>
          <xdr:spPr>
            <a:xfrm>
              <a:off x="1533525" y="3721101"/>
              <a:ext cx="333105" cy="279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6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600" b="1" i="1">
                            <a:latin typeface="Cambria Math" panose="02040503050406030204" pitchFamily="18" charset="0"/>
                          </a:rPr>
                          <m:t>𝒑</m:t>
                        </m:r>
                      </m:e>
                      <m:sub>
                        <m:r>
                          <a:rPr lang="es-CO" sz="16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s-CO" sz="1600" b="1"/>
            </a:p>
            <a:p>
              <a:endParaRPr lang="en-US" sz="1600" b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DB7046C-3B26-0D90-BAF1-1B9E949E7EAD}"/>
                </a:ext>
              </a:extLst>
            </xdr:cNvPr>
            <xdr:cNvSpPr txBox="1"/>
          </xdr:nvSpPr>
          <xdr:spPr>
            <a:xfrm>
              <a:off x="1533525" y="3721101"/>
              <a:ext cx="333105" cy="279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s-CO" sz="1600" b="1" i="0">
                  <a:latin typeface="Cambria Math" panose="02040503050406030204" pitchFamily="18" charset="0"/>
                </a:rPr>
                <a:t>𝒑_𝟏</a:t>
              </a:r>
              <a:endParaRPr lang="es-CO" sz="1600" b="1"/>
            </a:p>
            <a:p>
              <a:pPr/>
              <a:endParaRPr lang="en-US" sz="1600" b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34925</xdr:colOff>
      <xdr:row>5</xdr:row>
      <xdr:rowOff>12700</xdr:rowOff>
    </xdr:from>
    <xdr:ext cx="292324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D7923B-9928-0C02-7A1D-C3A5F5C0BFFD}"/>
                </a:ext>
              </a:extLst>
            </xdr:cNvPr>
            <xdr:cNvSpPr txBox="1"/>
          </xdr:nvSpPr>
          <xdr:spPr>
            <a:xfrm>
              <a:off x="1254125" y="1346200"/>
              <a:ext cx="292324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𝑵</m:t>
                        </m:r>
                      </m:e>
                      <m:sub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D7923B-9928-0C02-7A1D-C3A5F5C0BFFD}"/>
                </a:ext>
              </a:extLst>
            </xdr:cNvPr>
            <xdr:cNvSpPr txBox="1"/>
          </xdr:nvSpPr>
          <xdr:spPr>
            <a:xfrm>
              <a:off x="1254125" y="1346200"/>
              <a:ext cx="292324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𝑵_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34925</xdr:colOff>
      <xdr:row>6</xdr:row>
      <xdr:rowOff>12700</xdr:rowOff>
    </xdr:from>
    <xdr:ext cx="292323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006F2A8-75D8-D5B1-BC25-FBA5232104E4}"/>
                </a:ext>
              </a:extLst>
            </xdr:cNvPr>
            <xdr:cNvSpPr txBox="1"/>
          </xdr:nvSpPr>
          <xdr:spPr>
            <a:xfrm>
              <a:off x="1254125" y="1612900"/>
              <a:ext cx="292323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𝑵</m:t>
                        </m:r>
                      </m:e>
                      <m:sub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006F2A8-75D8-D5B1-BC25-FBA5232104E4}"/>
                </a:ext>
              </a:extLst>
            </xdr:cNvPr>
            <xdr:cNvSpPr txBox="1"/>
          </xdr:nvSpPr>
          <xdr:spPr>
            <a:xfrm>
              <a:off x="1254125" y="1612900"/>
              <a:ext cx="292323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𝑵_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34925</xdr:colOff>
      <xdr:row>7</xdr:row>
      <xdr:rowOff>19050</xdr:rowOff>
    </xdr:from>
    <xdr:ext cx="292324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CB63178-7D64-5180-BA53-84EF61BF1A90}"/>
                </a:ext>
              </a:extLst>
            </xdr:cNvPr>
            <xdr:cNvSpPr txBox="1"/>
          </xdr:nvSpPr>
          <xdr:spPr>
            <a:xfrm>
              <a:off x="1254125" y="1885950"/>
              <a:ext cx="292324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𝑵</m:t>
                        </m:r>
                      </m:e>
                      <m:sub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CB63178-7D64-5180-BA53-84EF61BF1A90}"/>
                </a:ext>
              </a:extLst>
            </xdr:cNvPr>
            <xdr:cNvSpPr txBox="1"/>
          </xdr:nvSpPr>
          <xdr:spPr>
            <a:xfrm>
              <a:off x="1254125" y="1885950"/>
              <a:ext cx="292324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𝑵_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2</xdr:col>
      <xdr:colOff>47625</xdr:colOff>
      <xdr:row>1</xdr:row>
      <xdr:rowOff>19050</xdr:rowOff>
    </xdr:from>
    <xdr:ext cx="192938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0737D21-EBE8-2963-DBAC-F908A55BE55C}"/>
                </a:ext>
              </a:extLst>
            </xdr:cNvPr>
            <xdr:cNvSpPr txBox="1"/>
          </xdr:nvSpPr>
          <xdr:spPr>
            <a:xfrm>
              <a:off x="1266825" y="285750"/>
              <a:ext cx="192938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𝑵</m:t>
                    </m:r>
                  </m:oMath>
                </m:oMathPara>
              </a14:m>
              <a:endParaRPr lang="es-CO" sz="1600" b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0737D21-EBE8-2963-DBAC-F908A55BE55C}"/>
                </a:ext>
              </a:extLst>
            </xdr:cNvPr>
            <xdr:cNvSpPr txBox="1"/>
          </xdr:nvSpPr>
          <xdr:spPr>
            <a:xfrm>
              <a:off x="1266825" y="285750"/>
              <a:ext cx="192938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𝑵</a:t>
              </a:r>
              <a:endParaRPr lang="es-CO" sz="1600" b="1"/>
            </a:p>
          </xdr:txBody>
        </xdr:sp>
      </mc:Fallback>
    </mc:AlternateContent>
    <xdr:clientData/>
  </xdr:oneCellAnchor>
  <xdr:oneCellAnchor>
    <xdr:from>
      <xdr:col>2</xdr:col>
      <xdr:colOff>41275</xdr:colOff>
      <xdr:row>2</xdr:row>
      <xdr:rowOff>6350</xdr:rowOff>
    </xdr:from>
    <xdr:ext cx="169790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9698008-4101-BE89-AC3D-142AC4F4FA82}"/>
                </a:ext>
              </a:extLst>
            </xdr:cNvPr>
            <xdr:cNvSpPr txBox="1"/>
          </xdr:nvSpPr>
          <xdr:spPr>
            <a:xfrm>
              <a:off x="1260475" y="539750"/>
              <a:ext cx="169790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𝒏</m:t>
                    </m:r>
                  </m:oMath>
                </m:oMathPara>
              </a14:m>
              <a:endParaRPr lang="es-CO" sz="1600" b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9698008-4101-BE89-AC3D-142AC4F4FA82}"/>
                </a:ext>
              </a:extLst>
            </xdr:cNvPr>
            <xdr:cNvSpPr txBox="1"/>
          </xdr:nvSpPr>
          <xdr:spPr>
            <a:xfrm>
              <a:off x="1260475" y="539750"/>
              <a:ext cx="169790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𝒏</a:t>
              </a:r>
              <a:endParaRPr lang="es-CO" sz="1600" b="1"/>
            </a:p>
          </xdr:txBody>
        </xdr:sp>
      </mc:Fallback>
    </mc:AlternateContent>
    <xdr:clientData/>
  </xdr:oneCellAnchor>
  <xdr:oneCellAnchor>
    <xdr:from>
      <xdr:col>2</xdr:col>
      <xdr:colOff>41275</xdr:colOff>
      <xdr:row>3</xdr:row>
      <xdr:rowOff>12700</xdr:rowOff>
    </xdr:from>
    <xdr:ext cx="174791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485A13D-E66D-64E0-BBD4-4F9881D9085A}"/>
                </a:ext>
              </a:extLst>
            </xdr:cNvPr>
            <xdr:cNvSpPr txBox="1"/>
          </xdr:nvSpPr>
          <xdr:spPr>
            <a:xfrm>
              <a:off x="1260475" y="812800"/>
              <a:ext cx="174791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𝜶</m:t>
                    </m:r>
                  </m:oMath>
                </m:oMathPara>
              </a14:m>
              <a:endParaRPr lang="es-CO" sz="1600" b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485A13D-E66D-64E0-BBD4-4F9881D9085A}"/>
                </a:ext>
              </a:extLst>
            </xdr:cNvPr>
            <xdr:cNvSpPr txBox="1"/>
          </xdr:nvSpPr>
          <xdr:spPr>
            <a:xfrm>
              <a:off x="1260475" y="812800"/>
              <a:ext cx="174791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𝜶</a:t>
              </a:r>
              <a:endParaRPr lang="es-CO" sz="1600" b="1"/>
            </a:p>
          </xdr:txBody>
        </xdr:sp>
      </mc:Fallback>
    </mc:AlternateContent>
    <xdr:clientData/>
  </xdr:oneCellAnchor>
  <xdr:oneCellAnchor>
    <xdr:from>
      <xdr:col>2</xdr:col>
      <xdr:colOff>22225</xdr:colOff>
      <xdr:row>3</xdr:row>
      <xdr:rowOff>260350</xdr:rowOff>
    </xdr:from>
    <xdr:ext cx="730200" cy="2622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4924648-8479-8130-6253-1DE5A83FA605}"/>
                </a:ext>
              </a:extLst>
            </xdr:cNvPr>
            <xdr:cNvSpPr txBox="1"/>
          </xdr:nvSpPr>
          <xdr:spPr>
            <a:xfrm>
              <a:off x="1241425" y="1060450"/>
              <a:ext cx="730200" cy="2622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e>
                      <m:sub>
                        <m:f>
                          <m:fPr>
                            <m:type m:val="lin"/>
                            <m:ctrlPr>
                              <a:rPr lang="en-US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𝜶</m:t>
                            </m:r>
                          </m:num>
                          <m:den>
                            <m:r>
                              <a:rPr lang="en-US" sz="16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den>
                        </m:f>
                        <m:r>
                          <a:rPr lang="en-US" sz="16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𝒏</m:t>
                        </m:r>
                        <m:r>
                          <a:rPr lang="en-US" sz="16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𝑳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4924648-8479-8130-6253-1DE5A83FA605}"/>
                </a:ext>
              </a:extLst>
            </xdr:cNvPr>
            <xdr:cNvSpPr txBox="1"/>
          </xdr:nvSpPr>
          <xdr:spPr>
            <a:xfrm>
              <a:off x="1241425" y="1060450"/>
              <a:ext cx="730200" cy="2622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𝒕_(𝜶∕𝟐,𝒏−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𝑳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2</xdr:col>
      <xdr:colOff>34925</xdr:colOff>
      <xdr:row>8</xdr:row>
      <xdr:rowOff>19050</xdr:rowOff>
    </xdr:from>
    <xdr:ext cx="26917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B6DB1AE-6E73-08DA-65D0-16AD1B85350A}"/>
                </a:ext>
              </a:extLst>
            </xdr:cNvPr>
            <xdr:cNvSpPr txBox="1"/>
          </xdr:nvSpPr>
          <xdr:spPr>
            <a:xfrm>
              <a:off x="1254125" y="2152650"/>
              <a:ext cx="26917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𝒏</m:t>
                        </m:r>
                      </m:e>
                      <m:sub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B6DB1AE-6E73-08DA-65D0-16AD1B85350A}"/>
                </a:ext>
              </a:extLst>
            </xdr:cNvPr>
            <xdr:cNvSpPr txBox="1"/>
          </xdr:nvSpPr>
          <xdr:spPr>
            <a:xfrm>
              <a:off x="1254125" y="2152650"/>
              <a:ext cx="26917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𝒏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𝟏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2</xdr:col>
      <xdr:colOff>34925</xdr:colOff>
      <xdr:row>9</xdr:row>
      <xdr:rowOff>19050</xdr:rowOff>
    </xdr:from>
    <xdr:ext cx="26917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ED1D0BB-D9F2-A95C-9371-D06D11A4591B}"/>
                </a:ext>
              </a:extLst>
            </xdr:cNvPr>
            <xdr:cNvSpPr txBox="1"/>
          </xdr:nvSpPr>
          <xdr:spPr>
            <a:xfrm>
              <a:off x="1254125" y="2419350"/>
              <a:ext cx="26917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𝒏</m:t>
                        </m:r>
                      </m:e>
                      <m:sub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05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ED1D0BB-D9F2-A95C-9371-D06D11A4591B}"/>
                </a:ext>
              </a:extLst>
            </xdr:cNvPr>
            <xdr:cNvSpPr txBox="1"/>
          </xdr:nvSpPr>
          <xdr:spPr>
            <a:xfrm>
              <a:off x="1254125" y="2419350"/>
              <a:ext cx="26917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𝒏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endParaRPr lang="en-US" sz="1050"/>
            </a:p>
          </xdr:txBody>
        </xdr:sp>
      </mc:Fallback>
    </mc:AlternateContent>
    <xdr:clientData/>
  </xdr:oneCellAnchor>
  <xdr:oneCellAnchor>
    <xdr:from>
      <xdr:col>2</xdr:col>
      <xdr:colOff>34925</xdr:colOff>
      <xdr:row>10</xdr:row>
      <xdr:rowOff>0</xdr:rowOff>
    </xdr:from>
    <xdr:ext cx="26917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852D6A0-4A82-577E-5627-88EFF19DD54F}"/>
                </a:ext>
              </a:extLst>
            </xdr:cNvPr>
            <xdr:cNvSpPr txBox="1"/>
          </xdr:nvSpPr>
          <xdr:spPr>
            <a:xfrm>
              <a:off x="1254125" y="2667000"/>
              <a:ext cx="26917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𝒏</m:t>
                        </m:r>
                      </m:e>
                      <m:sub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852D6A0-4A82-577E-5627-88EFF19DD54F}"/>
                </a:ext>
              </a:extLst>
            </xdr:cNvPr>
            <xdr:cNvSpPr txBox="1"/>
          </xdr:nvSpPr>
          <xdr:spPr>
            <a:xfrm>
              <a:off x="1254125" y="2667000"/>
              <a:ext cx="26917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𝒏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2</xdr:col>
      <xdr:colOff>22225</xdr:colOff>
      <xdr:row>10</xdr:row>
      <xdr:rowOff>254000</xdr:rowOff>
    </xdr:from>
    <xdr:ext cx="803275" cy="2793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4F95E54-A64A-DDCA-8A49-3AE70AFDFE01}"/>
                </a:ext>
              </a:extLst>
            </xdr:cNvPr>
            <xdr:cNvSpPr txBox="1"/>
          </xdr:nvSpPr>
          <xdr:spPr>
            <a:xfrm>
              <a:off x="1241425" y="2921000"/>
              <a:ext cx="803275" cy="2793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e>
                      <m:sub>
                        <m:f>
                          <m:fPr>
                            <m:type m:val="lin"/>
                            <m:ctrlPr>
                              <a:rPr lang="en-US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𝜶</m:t>
                            </m:r>
                          </m:num>
                          <m:den>
                            <m:r>
                              <a:rPr lang="en-US" sz="16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den>
                        </m:f>
                        <m:r>
                          <a:rPr lang="en-US" sz="16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sSub>
                          <m:sSubPr>
                            <m:ctrlPr>
                              <a:rPr lang="en-US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𝒏</m:t>
                            </m:r>
                          </m:e>
                          <m:sub>
                            <m:r>
                              <a:rPr lang="es-CO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n-US" sz="16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600">
                <a:effectLst/>
              </a:endParaRPr>
            </a:p>
            <a:p>
              <a:endParaRPr lang="en-US" sz="16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4F95E54-A64A-DDCA-8A49-3AE70AFDFE01}"/>
                </a:ext>
              </a:extLst>
            </xdr:cNvPr>
            <xdr:cNvSpPr txBox="1"/>
          </xdr:nvSpPr>
          <xdr:spPr>
            <a:xfrm>
              <a:off x="1241425" y="2921000"/>
              <a:ext cx="803275" cy="2793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𝒕_(𝜶∕𝟐,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𝒏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𝟏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en-US" sz="1600">
                <a:effectLst/>
              </a:endParaRPr>
            </a:p>
            <a:p>
              <a:endParaRPr lang="en-US" sz="1600"/>
            </a:p>
          </xdr:txBody>
        </xdr:sp>
      </mc:Fallback>
    </mc:AlternateContent>
    <xdr:clientData/>
  </xdr:oneCellAnchor>
  <xdr:oneCellAnchor>
    <xdr:from>
      <xdr:col>2</xdr:col>
      <xdr:colOff>22225</xdr:colOff>
      <xdr:row>11</xdr:row>
      <xdr:rowOff>260350</xdr:rowOff>
    </xdr:from>
    <xdr:ext cx="811954" cy="4396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993308A-64E3-FDB6-B1E2-281B6C3B8002}"/>
                </a:ext>
              </a:extLst>
            </xdr:cNvPr>
            <xdr:cNvSpPr txBox="1"/>
          </xdr:nvSpPr>
          <xdr:spPr>
            <a:xfrm>
              <a:off x="1241425" y="3194050"/>
              <a:ext cx="811954" cy="4396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e>
                      <m:sub>
                        <m:f>
                          <m:fPr>
                            <m:type m:val="lin"/>
                            <m:ctrlPr>
                              <a:rPr lang="en-US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𝜶</m:t>
                            </m:r>
                          </m:num>
                          <m:den>
                            <m:r>
                              <a:rPr lang="en-US" sz="16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den>
                        </m:f>
                        <m:r>
                          <a:rPr lang="en-US" sz="16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sSub>
                          <m:sSubPr>
                            <m:ctrlPr>
                              <a:rPr lang="en-US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𝒏</m:t>
                            </m:r>
                          </m:e>
                          <m:sub>
                            <m:r>
                              <a:rPr lang="es-CO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n-US" sz="16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>
                <a:effectLst/>
              </a:endParaRP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993308A-64E3-FDB6-B1E2-281B6C3B8002}"/>
                </a:ext>
              </a:extLst>
            </xdr:cNvPr>
            <xdr:cNvSpPr txBox="1"/>
          </xdr:nvSpPr>
          <xdr:spPr>
            <a:xfrm>
              <a:off x="1241425" y="3194050"/>
              <a:ext cx="811954" cy="4396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𝒕_(𝜶∕𝟐,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𝒏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en-US">
                <a:effectLst/>
              </a:endParaRPr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22225</xdr:colOff>
      <xdr:row>12</xdr:row>
      <xdr:rowOff>247650</xdr:rowOff>
    </xdr:from>
    <xdr:ext cx="814838" cy="4405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45EB83B-CB93-C412-F94B-12277E570320}"/>
                </a:ext>
              </a:extLst>
            </xdr:cNvPr>
            <xdr:cNvSpPr txBox="1"/>
          </xdr:nvSpPr>
          <xdr:spPr>
            <a:xfrm>
              <a:off x="1241425" y="3448050"/>
              <a:ext cx="814838" cy="440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e>
                      <m:sub>
                        <m:f>
                          <m:fPr>
                            <m:type m:val="lin"/>
                            <m:ctrlPr>
                              <a:rPr lang="en-US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𝜶</m:t>
                            </m:r>
                          </m:num>
                          <m:den>
                            <m:r>
                              <a:rPr lang="en-US" sz="160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den>
                        </m:f>
                        <m:r>
                          <a:rPr lang="en-US" sz="16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sSub>
                          <m:sSubPr>
                            <m:ctrlPr>
                              <a:rPr lang="en-US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𝒏</m:t>
                            </m:r>
                          </m:e>
                          <m:sub>
                            <m:r>
                              <a:rPr lang="es-CO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n-US" sz="160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>
                <a:effectLst/>
              </a:endParaRP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45EB83B-CB93-C412-F94B-12277E570320}"/>
                </a:ext>
              </a:extLst>
            </xdr:cNvPr>
            <xdr:cNvSpPr txBox="1"/>
          </xdr:nvSpPr>
          <xdr:spPr>
            <a:xfrm>
              <a:off x="1241425" y="3448050"/>
              <a:ext cx="814838" cy="440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𝒕_(𝜶∕𝟐,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𝒏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en-US">
                <a:effectLst/>
              </a:endParaRPr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47625</xdr:colOff>
      <xdr:row>13</xdr:row>
      <xdr:rowOff>254000</xdr:rowOff>
    </xdr:from>
    <xdr:ext cx="26558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CD3F396-4C06-5916-F60A-EE9E76022F0F}"/>
                </a:ext>
              </a:extLst>
            </xdr:cNvPr>
            <xdr:cNvSpPr txBox="1"/>
          </xdr:nvSpPr>
          <xdr:spPr>
            <a:xfrm>
              <a:off x="1266825" y="3721100"/>
              <a:ext cx="26558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6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s-CO" sz="160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O" sz="1600" b="1" i="1">
                                <a:latin typeface="Cambria Math" panose="02040503050406030204" pitchFamily="18" charset="0"/>
                              </a:rPr>
                              <m:t>𝝁</m:t>
                            </m:r>
                          </m:e>
                        </m:acc>
                      </m:e>
                      <m:sub>
                        <m:r>
                          <a:rPr lang="es-CO" sz="16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CD3F396-4C06-5916-F60A-EE9E76022F0F}"/>
                </a:ext>
              </a:extLst>
            </xdr:cNvPr>
            <xdr:cNvSpPr txBox="1"/>
          </xdr:nvSpPr>
          <xdr:spPr>
            <a:xfrm>
              <a:off x="1266825" y="3721100"/>
              <a:ext cx="26558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𝝁 ̂_𝟏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2</xdr:col>
      <xdr:colOff>47625</xdr:colOff>
      <xdr:row>18</xdr:row>
      <xdr:rowOff>0</xdr:rowOff>
    </xdr:from>
    <xdr:ext cx="26558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49B4167-8420-4DCE-2F63-2C13BEAB7B1C}"/>
                </a:ext>
              </a:extLst>
            </xdr:cNvPr>
            <xdr:cNvSpPr txBox="1"/>
          </xdr:nvSpPr>
          <xdr:spPr>
            <a:xfrm>
              <a:off x="1266825" y="4800600"/>
              <a:ext cx="26558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s-CO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s-CO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𝝁</m:t>
                            </m:r>
                          </m:e>
                        </m:acc>
                      </m:e>
                      <m:sub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600" b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49B4167-8420-4DCE-2F63-2C13BEAB7B1C}"/>
                </a:ext>
              </a:extLst>
            </xdr:cNvPr>
            <xdr:cNvSpPr txBox="1"/>
          </xdr:nvSpPr>
          <xdr:spPr>
            <a:xfrm>
              <a:off x="1266825" y="4800600"/>
              <a:ext cx="26558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𝝁 ̂_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47625</xdr:colOff>
      <xdr:row>21</xdr:row>
      <xdr:rowOff>247650</xdr:rowOff>
    </xdr:from>
    <xdr:ext cx="26558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092029E-7B20-F56B-2827-91BFA84AF603}"/>
                </a:ext>
              </a:extLst>
            </xdr:cNvPr>
            <xdr:cNvSpPr txBox="1"/>
          </xdr:nvSpPr>
          <xdr:spPr>
            <a:xfrm>
              <a:off x="1266825" y="5848350"/>
              <a:ext cx="26558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s-CO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s-CO" sz="16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𝝁</m:t>
                            </m:r>
                          </m:e>
                        </m:acc>
                      </m:e>
                      <m:sub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600" b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092029E-7B20-F56B-2827-91BFA84AF603}"/>
                </a:ext>
              </a:extLst>
            </xdr:cNvPr>
            <xdr:cNvSpPr txBox="1"/>
          </xdr:nvSpPr>
          <xdr:spPr>
            <a:xfrm>
              <a:off x="1266825" y="5848350"/>
              <a:ext cx="26558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𝝁 ̂_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1</xdr:col>
      <xdr:colOff>854075</xdr:colOff>
      <xdr:row>14</xdr:row>
      <xdr:rowOff>260350</xdr:rowOff>
    </xdr:from>
    <xdr:ext cx="568554" cy="516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D02C6171-D2A3-1203-88CE-73D27572E26C}"/>
                </a:ext>
              </a:extLst>
            </xdr:cNvPr>
            <xdr:cNvSpPr txBox="1"/>
          </xdr:nvSpPr>
          <xdr:spPr>
            <a:xfrm>
              <a:off x="1463675" y="3994150"/>
              <a:ext cx="568554" cy="516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acc>
                          <m:accPr>
                            <m:chr m:val="̂"/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̂"/>
                                    <m:ctrlPr>
                                      <a:rPr lang="es-CO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es-CO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𝝁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acc>
                        <m:r>
                          <m:rPr>
                            <m:nor/>
                          </m:r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</m:e>
                    </m:rad>
                  </m:oMath>
                </m:oMathPara>
              </a14:m>
              <a:endParaRPr lang="en-US" sz="1600">
                <a:effectLst/>
              </a:endParaRP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D02C6171-D2A3-1203-88CE-73D27572E26C}"/>
                </a:ext>
              </a:extLst>
            </xdr:cNvPr>
            <xdr:cNvSpPr txBox="1"/>
          </xdr:nvSpPr>
          <xdr:spPr>
            <a:xfrm>
              <a:off x="1463675" y="3994150"/>
              <a:ext cx="568554" cy="516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(𝑽(𝝁 ̂_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)) ̂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" )</a:t>
              </a:r>
              <a:endParaRPr lang="en-US" sz="1600">
                <a:effectLst/>
              </a:endParaRPr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41275</xdr:colOff>
      <xdr:row>16</xdr:row>
      <xdr:rowOff>6350</xdr:rowOff>
    </xdr:from>
    <xdr:ext cx="24256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5859725-CE62-CE34-B45F-24E8017344E2}"/>
                </a:ext>
              </a:extLst>
            </xdr:cNvPr>
            <xdr:cNvSpPr txBox="1"/>
          </xdr:nvSpPr>
          <xdr:spPr>
            <a:xfrm>
              <a:off x="1260475" y="4273550"/>
              <a:ext cx="24256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𝑳𝑰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5859725-CE62-CE34-B45F-24E8017344E2}"/>
                </a:ext>
              </a:extLst>
            </xdr:cNvPr>
            <xdr:cNvSpPr txBox="1"/>
          </xdr:nvSpPr>
          <xdr:spPr>
            <a:xfrm>
              <a:off x="1260475" y="4273550"/>
              <a:ext cx="24256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𝑳𝑰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2</xdr:col>
      <xdr:colOff>22225</xdr:colOff>
      <xdr:row>16</xdr:row>
      <xdr:rowOff>260350</xdr:rowOff>
    </xdr:from>
    <xdr:ext cx="26962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68415DD0-68D0-0B63-BF90-0EF2E9EF0E16}"/>
                </a:ext>
              </a:extLst>
            </xdr:cNvPr>
            <xdr:cNvSpPr txBox="1"/>
          </xdr:nvSpPr>
          <xdr:spPr>
            <a:xfrm>
              <a:off x="1241425" y="4527550"/>
              <a:ext cx="26962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𝑳𝑺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68415DD0-68D0-0B63-BF90-0EF2E9EF0E16}"/>
                </a:ext>
              </a:extLst>
            </xdr:cNvPr>
            <xdr:cNvSpPr txBox="1"/>
          </xdr:nvSpPr>
          <xdr:spPr>
            <a:xfrm>
              <a:off x="1241425" y="4527550"/>
              <a:ext cx="26962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𝑳𝑺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2</xdr:col>
      <xdr:colOff>22225</xdr:colOff>
      <xdr:row>19</xdr:row>
      <xdr:rowOff>0</xdr:rowOff>
    </xdr:from>
    <xdr:ext cx="524374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B9AD8E7-9C6E-5BDA-A430-D4D40BE00104}"/>
                </a:ext>
              </a:extLst>
            </xdr:cNvPr>
            <xdr:cNvSpPr txBox="1"/>
          </xdr:nvSpPr>
          <xdr:spPr>
            <a:xfrm>
              <a:off x="1527175" y="5067300"/>
              <a:ext cx="524374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acc>
                          <m:accPr>
                            <m:chr m:val="̂"/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̂"/>
                                    <m:ctrlPr>
                                      <a:rPr lang="es-CO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es-CO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𝝁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𝟐</m:t>
                                </m:r>
                              </m:sub>
                            </m:s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acc>
                        <m:r>
                          <m:rPr>
                            <m:nor/>
                          </m:rPr>
                          <a:rPr lang="en-US">
                            <a:effectLst/>
                          </a:rPr>
                          <m:t> 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B9AD8E7-9C6E-5BDA-A430-D4D40BE00104}"/>
                </a:ext>
              </a:extLst>
            </xdr:cNvPr>
            <xdr:cNvSpPr txBox="1"/>
          </xdr:nvSpPr>
          <xdr:spPr>
            <a:xfrm>
              <a:off x="1527175" y="5067300"/>
              <a:ext cx="524374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(𝑽(𝝁 ̂_𝟐)) ̂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US" i="0">
                  <a:effectLst/>
                </a:rPr>
                <a:t> </a:t>
              </a:r>
              <a:r>
                <a:rPr lang="en-US" sz="1100" i="0">
                  <a:effectLst/>
                  <a:latin typeface="Cambria Math" panose="02040503050406030204" pitchFamily="18" charset="0"/>
                </a:rPr>
                <a:t>"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34925</xdr:colOff>
      <xdr:row>20</xdr:row>
      <xdr:rowOff>6350</xdr:rowOff>
    </xdr:from>
    <xdr:ext cx="24256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8ABA68C-7964-60BF-B119-69194D4BFC79}"/>
                </a:ext>
              </a:extLst>
            </xdr:cNvPr>
            <xdr:cNvSpPr txBox="1"/>
          </xdr:nvSpPr>
          <xdr:spPr>
            <a:xfrm>
              <a:off x="1254125" y="5340350"/>
              <a:ext cx="24256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𝑳𝑰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8ABA68C-7964-60BF-B119-69194D4BFC79}"/>
                </a:ext>
              </a:extLst>
            </xdr:cNvPr>
            <xdr:cNvSpPr txBox="1"/>
          </xdr:nvSpPr>
          <xdr:spPr>
            <a:xfrm>
              <a:off x="1254125" y="5340350"/>
              <a:ext cx="24256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𝑳𝑰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2</xdr:col>
      <xdr:colOff>34925</xdr:colOff>
      <xdr:row>21</xdr:row>
      <xdr:rowOff>0</xdr:rowOff>
    </xdr:from>
    <xdr:ext cx="26962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A2B2E4E-30D6-664F-5F25-AD9903873312}"/>
                </a:ext>
              </a:extLst>
            </xdr:cNvPr>
            <xdr:cNvSpPr txBox="1"/>
          </xdr:nvSpPr>
          <xdr:spPr>
            <a:xfrm>
              <a:off x="1254125" y="5600700"/>
              <a:ext cx="26962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𝑳𝑺</m:t>
                    </m:r>
                  </m:oMath>
                </m:oMathPara>
              </a14:m>
              <a:endParaRPr lang="en-US" sz="1600" b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A2B2E4E-30D6-664F-5F25-AD9903873312}"/>
                </a:ext>
              </a:extLst>
            </xdr:cNvPr>
            <xdr:cNvSpPr txBox="1"/>
          </xdr:nvSpPr>
          <xdr:spPr>
            <a:xfrm>
              <a:off x="1254125" y="5600700"/>
              <a:ext cx="26962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𝑳𝑺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15875</xdr:colOff>
      <xdr:row>22</xdr:row>
      <xdr:rowOff>254000</xdr:rowOff>
    </xdr:from>
    <xdr:ext cx="524374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6027006-109B-3B24-20CE-6F14B1F817F0}"/>
                </a:ext>
              </a:extLst>
            </xdr:cNvPr>
            <xdr:cNvSpPr txBox="1"/>
          </xdr:nvSpPr>
          <xdr:spPr>
            <a:xfrm>
              <a:off x="1520825" y="6121400"/>
              <a:ext cx="524374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acc>
                          <m:accPr>
                            <m:chr m:val="̂"/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acc>
                                  <m:accPr>
                                    <m:chr m:val="̂"/>
                                    <m:ctrlPr>
                                      <a:rPr lang="es-CO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es-CO" sz="11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𝝁</m:t>
                                    </m:r>
                                  </m:e>
                                </m:acc>
                              </m:e>
                              <m:sub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𝟑</m:t>
                                </m:r>
                              </m:sub>
                            </m:s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acc>
                        <m:r>
                          <m:rPr>
                            <m:nor/>
                          </m:rPr>
                          <a:rPr lang="en-US">
                            <a:effectLst/>
                          </a:rPr>
                          <m:t> 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6027006-109B-3B24-20CE-6F14B1F817F0}"/>
                </a:ext>
              </a:extLst>
            </xdr:cNvPr>
            <xdr:cNvSpPr txBox="1"/>
          </xdr:nvSpPr>
          <xdr:spPr>
            <a:xfrm>
              <a:off x="1520825" y="6121400"/>
              <a:ext cx="524374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(𝑽(𝝁 ̂_𝟑)) ̂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US" i="0">
                  <a:effectLst/>
                </a:rPr>
                <a:t> </a:t>
              </a:r>
              <a:r>
                <a:rPr lang="en-US" sz="1100" i="0">
                  <a:effectLst/>
                  <a:latin typeface="Cambria Math" panose="02040503050406030204" pitchFamily="18" charset="0"/>
                </a:rPr>
                <a:t>"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28575</xdr:colOff>
      <xdr:row>24</xdr:row>
      <xdr:rowOff>12700</xdr:rowOff>
    </xdr:from>
    <xdr:ext cx="24256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504B9A5-0CC4-3FFF-A3B6-877DD91A66BC}"/>
                </a:ext>
              </a:extLst>
            </xdr:cNvPr>
            <xdr:cNvSpPr txBox="1"/>
          </xdr:nvSpPr>
          <xdr:spPr>
            <a:xfrm>
              <a:off x="1247775" y="6413500"/>
              <a:ext cx="24256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𝑳𝑰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504B9A5-0CC4-3FFF-A3B6-877DD91A66BC}"/>
                </a:ext>
              </a:extLst>
            </xdr:cNvPr>
            <xdr:cNvSpPr txBox="1"/>
          </xdr:nvSpPr>
          <xdr:spPr>
            <a:xfrm>
              <a:off x="1247775" y="6413500"/>
              <a:ext cx="24256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𝑳𝑰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2</xdr:col>
      <xdr:colOff>15875</xdr:colOff>
      <xdr:row>25</xdr:row>
      <xdr:rowOff>6350</xdr:rowOff>
    </xdr:from>
    <xdr:ext cx="26962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AA7186-7BEA-6086-B34A-7B9A67082451}"/>
                </a:ext>
              </a:extLst>
            </xdr:cNvPr>
            <xdr:cNvSpPr txBox="1"/>
          </xdr:nvSpPr>
          <xdr:spPr>
            <a:xfrm>
              <a:off x="1235075" y="6673850"/>
              <a:ext cx="26962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𝑳𝑺</m:t>
                    </m:r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AA7186-7BEA-6086-B34A-7B9A67082451}"/>
                </a:ext>
              </a:extLst>
            </xdr:cNvPr>
            <xdr:cNvSpPr txBox="1"/>
          </xdr:nvSpPr>
          <xdr:spPr>
            <a:xfrm>
              <a:off x="1235075" y="6673850"/>
              <a:ext cx="26962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𝑳𝑺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2</xdr:col>
      <xdr:colOff>28575</xdr:colOff>
      <xdr:row>25</xdr:row>
      <xdr:rowOff>260350</xdr:rowOff>
    </xdr:from>
    <xdr:ext cx="167482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CAE25668-DCC0-5572-4E9B-F3DFF2CFEA6F}"/>
                </a:ext>
              </a:extLst>
            </xdr:cNvPr>
            <xdr:cNvSpPr txBox="1"/>
          </xdr:nvSpPr>
          <xdr:spPr>
            <a:xfrm>
              <a:off x="1247775" y="6927850"/>
              <a:ext cx="167482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s-CO" sz="16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CO" sz="1600" b="1" i="1">
                            <a:latin typeface="Cambria Math" panose="02040503050406030204" pitchFamily="18" charset="0"/>
                          </a:rPr>
                          <m:t>𝝁</m:t>
                        </m:r>
                      </m:e>
                    </m:acc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CAE25668-DCC0-5572-4E9B-F3DFF2CFEA6F}"/>
                </a:ext>
              </a:extLst>
            </xdr:cNvPr>
            <xdr:cNvSpPr txBox="1"/>
          </xdr:nvSpPr>
          <xdr:spPr>
            <a:xfrm>
              <a:off x="1247775" y="6927850"/>
              <a:ext cx="167482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𝝁 ̂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2</xdr:col>
      <xdr:colOff>28575</xdr:colOff>
      <xdr:row>26</xdr:row>
      <xdr:rowOff>260350</xdr:rowOff>
    </xdr:from>
    <xdr:ext cx="456920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86F1D664-EA38-2EC9-1D75-4B83961B0BBC}"/>
                </a:ext>
              </a:extLst>
            </xdr:cNvPr>
            <xdr:cNvSpPr txBox="1"/>
          </xdr:nvSpPr>
          <xdr:spPr>
            <a:xfrm>
              <a:off x="1533525" y="7194550"/>
              <a:ext cx="45692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acc>
                          <m:accPr>
                            <m:chr m:val="̂"/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acc>
                              <m:accPr>
                                <m:chr m:val="̂"/>
                                <m:ctrlP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𝝁</m:t>
                                </m:r>
                              </m:e>
                            </m:acc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e>
                        </m:acc>
                        <m:r>
                          <m:rPr>
                            <m:nor/>
                          </m:rPr>
                          <a:rPr lang="en-US">
                            <a:effectLst/>
                          </a:rPr>
                          <m:t> 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86F1D664-EA38-2EC9-1D75-4B83961B0BBC}"/>
                </a:ext>
              </a:extLst>
            </xdr:cNvPr>
            <xdr:cNvSpPr txBox="1"/>
          </xdr:nvSpPr>
          <xdr:spPr>
            <a:xfrm>
              <a:off x="1533525" y="7194550"/>
              <a:ext cx="45692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(𝑽(𝝁 ̂)) ̂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US" i="0">
                  <a:effectLst/>
                </a:rPr>
                <a:t> </a:t>
              </a:r>
              <a:r>
                <a:rPr lang="en-US" sz="1100" i="0">
                  <a:effectLst/>
                  <a:latin typeface="Cambria Math" panose="02040503050406030204" pitchFamily="18" charset="0"/>
                </a:rPr>
                <a:t>"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41275</xdr:colOff>
      <xdr:row>28</xdr:row>
      <xdr:rowOff>12700</xdr:rowOff>
    </xdr:from>
    <xdr:ext cx="24256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C97E41E-6575-FB7D-FB9E-BBAFE466BF40}"/>
                </a:ext>
              </a:extLst>
            </xdr:cNvPr>
            <xdr:cNvSpPr txBox="1"/>
          </xdr:nvSpPr>
          <xdr:spPr>
            <a:xfrm>
              <a:off x="1260475" y="7480300"/>
              <a:ext cx="24256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𝑳𝑰</m:t>
                    </m:r>
                  </m:oMath>
                </m:oMathPara>
              </a14:m>
              <a:endParaRPr lang="es-CO" sz="1600" b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C97E41E-6575-FB7D-FB9E-BBAFE466BF40}"/>
                </a:ext>
              </a:extLst>
            </xdr:cNvPr>
            <xdr:cNvSpPr txBox="1"/>
          </xdr:nvSpPr>
          <xdr:spPr>
            <a:xfrm>
              <a:off x="1260475" y="7480300"/>
              <a:ext cx="24256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𝑳𝑰</a:t>
              </a:r>
              <a:endParaRPr lang="es-CO" sz="1600" b="1"/>
            </a:p>
          </xdr:txBody>
        </xdr:sp>
      </mc:Fallback>
    </mc:AlternateContent>
    <xdr:clientData/>
  </xdr:oneCellAnchor>
  <xdr:oneCellAnchor>
    <xdr:from>
      <xdr:col>2</xdr:col>
      <xdr:colOff>28575</xdr:colOff>
      <xdr:row>29</xdr:row>
      <xdr:rowOff>0</xdr:rowOff>
    </xdr:from>
    <xdr:ext cx="269626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4B605FE-A627-0377-4F09-FBEB377E0DA3}"/>
                </a:ext>
              </a:extLst>
            </xdr:cNvPr>
            <xdr:cNvSpPr txBox="1"/>
          </xdr:nvSpPr>
          <xdr:spPr>
            <a:xfrm>
              <a:off x="1247775" y="7734300"/>
              <a:ext cx="26962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𝑳𝑺</m:t>
                    </m:r>
                  </m:oMath>
                </m:oMathPara>
              </a14:m>
              <a:endParaRPr lang="en-US" sz="1600" b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4B605FE-A627-0377-4F09-FBEB377E0DA3}"/>
                </a:ext>
              </a:extLst>
            </xdr:cNvPr>
            <xdr:cNvSpPr txBox="1"/>
          </xdr:nvSpPr>
          <xdr:spPr>
            <a:xfrm>
              <a:off x="1247775" y="7734300"/>
              <a:ext cx="269626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𝑳𝑺</a:t>
              </a:r>
              <a:endParaRPr lang="en-US" sz="1600" b="1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53975</xdr:colOff>
      <xdr:row>1</xdr:row>
      <xdr:rowOff>12700</xdr:rowOff>
    </xdr:from>
    <xdr:ext cx="174791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1CCD648-8107-4A0C-A373-5B73576647FA}"/>
                </a:ext>
              </a:extLst>
            </xdr:cNvPr>
            <xdr:cNvSpPr txBox="1"/>
          </xdr:nvSpPr>
          <xdr:spPr>
            <a:xfrm>
              <a:off x="1273175" y="279400"/>
              <a:ext cx="174791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𝜶</m:t>
                    </m:r>
                  </m:oMath>
                </m:oMathPara>
              </a14:m>
              <a:endParaRPr lang="en-US" sz="16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1CCD648-8107-4A0C-A373-5B73576647FA}"/>
                </a:ext>
              </a:extLst>
            </xdr:cNvPr>
            <xdr:cNvSpPr txBox="1"/>
          </xdr:nvSpPr>
          <xdr:spPr>
            <a:xfrm>
              <a:off x="1273175" y="279400"/>
              <a:ext cx="174791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𝜶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8</xdr:col>
      <xdr:colOff>536575</xdr:colOff>
      <xdr:row>4</xdr:row>
      <xdr:rowOff>114300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FC97D0-7CBA-EDC3-BFAF-46DD888A681E}"/>
            </a:ext>
          </a:extLst>
        </xdr:cNvPr>
        <xdr:cNvSpPr txBox="1"/>
      </xdr:nvSpPr>
      <xdr:spPr>
        <a:xfrm>
          <a:off x="5413375" y="1181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28575</xdr:colOff>
      <xdr:row>1</xdr:row>
      <xdr:rowOff>247650</xdr:rowOff>
    </xdr:from>
    <xdr:ext cx="473078" cy="285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E2101CC-3E59-CA77-0F46-6C10FC59313F}"/>
                </a:ext>
              </a:extLst>
            </xdr:cNvPr>
            <xdr:cNvSpPr txBox="1"/>
          </xdr:nvSpPr>
          <xdr:spPr>
            <a:xfrm>
              <a:off x="1247775" y="514350"/>
              <a:ext cx="473078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𝒁</m:t>
                        </m:r>
                      </m:e>
                      <m:sub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𝜶</m:t>
                        </m:r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/</m:t>
                        </m:r>
                        <m:r>
                          <a:rPr lang="es-CO" sz="16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600">
                <a:effectLst/>
              </a:endParaRPr>
            </a:p>
            <a:p>
              <a:endParaRPr lang="en-US" sz="16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E2101CC-3E59-CA77-0F46-6C10FC59313F}"/>
                </a:ext>
              </a:extLst>
            </xdr:cNvPr>
            <xdr:cNvSpPr txBox="1"/>
          </xdr:nvSpPr>
          <xdr:spPr>
            <a:xfrm>
              <a:off x="1247775" y="514350"/>
              <a:ext cx="473078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𝒁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s-CO" sz="16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𝜶 /𝟐</a:t>
              </a:r>
              <a:r>
                <a:rPr lang="en-US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en-US" sz="1600">
                <a:effectLst/>
              </a:endParaRPr>
            </a:p>
            <a:p>
              <a:endParaRPr lang="en-US" sz="1600"/>
            </a:p>
          </xdr:txBody>
        </xdr:sp>
      </mc:Fallback>
    </mc:AlternateContent>
    <xdr:clientData/>
  </xdr:oneCellAnchor>
  <xdr:oneCellAnchor>
    <xdr:from>
      <xdr:col>8</xdr:col>
      <xdr:colOff>536575</xdr:colOff>
      <xdr:row>4</xdr:row>
      <xdr:rowOff>114300</xdr:rowOff>
    </xdr:from>
    <xdr:ext cx="65" cy="34445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C3B2506-BB64-1DB3-FF0F-376E8B964939}"/>
            </a:ext>
          </a:extLst>
        </xdr:cNvPr>
        <xdr:cNvSpPr txBox="1"/>
      </xdr:nvSpPr>
      <xdr:spPr>
        <a:xfrm>
          <a:off x="5413375" y="1181100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 b="0"/>
        </a:p>
        <a:p>
          <a:endParaRPr lang="en-US" sz="1100"/>
        </a:p>
      </xdr:txBody>
    </xdr:sp>
    <xdr:clientData/>
  </xdr:oneCellAnchor>
  <xdr:oneCellAnchor>
    <xdr:from>
      <xdr:col>2</xdr:col>
      <xdr:colOff>34925</xdr:colOff>
      <xdr:row>3</xdr:row>
      <xdr:rowOff>19050</xdr:rowOff>
    </xdr:from>
    <xdr:ext cx="156068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ACB3C47-3C70-7F3E-33CB-CDB103EB1995}"/>
                </a:ext>
              </a:extLst>
            </xdr:cNvPr>
            <xdr:cNvSpPr txBox="1"/>
          </xdr:nvSpPr>
          <xdr:spPr>
            <a:xfrm>
              <a:off x="1254125" y="819150"/>
              <a:ext cx="156068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𝜹</m:t>
                    </m:r>
                  </m:oMath>
                </m:oMathPara>
              </a14:m>
              <a:endParaRPr lang="en-US" sz="1600" b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ACB3C47-3C70-7F3E-33CB-CDB103EB1995}"/>
                </a:ext>
              </a:extLst>
            </xdr:cNvPr>
            <xdr:cNvSpPr txBox="1"/>
          </xdr:nvSpPr>
          <xdr:spPr>
            <a:xfrm>
              <a:off x="1254125" y="819150"/>
              <a:ext cx="156068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𝜹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28575</xdr:colOff>
      <xdr:row>4</xdr:row>
      <xdr:rowOff>12700</xdr:rowOff>
    </xdr:from>
    <xdr:ext cx="169790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9EDB74A-49C4-41D8-A892-C9B66F16FEE1}"/>
                </a:ext>
              </a:extLst>
            </xdr:cNvPr>
            <xdr:cNvSpPr txBox="1"/>
          </xdr:nvSpPr>
          <xdr:spPr>
            <a:xfrm>
              <a:off x="1247775" y="1079500"/>
              <a:ext cx="169790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𝒏</m:t>
                    </m:r>
                  </m:oMath>
                </m:oMathPara>
              </a14:m>
              <a:endParaRPr lang="en-US" sz="1600" b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9EDB74A-49C4-41D8-A892-C9B66F16FEE1}"/>
                </a:ext>
              </a:extLst>
            </xdr:cNvPr>
            <xdr:cNvSpPr txBox="1"/>
          </xdr:nvSpPr>
          <xdr:spPr>
            <a:xfrm>
              <a:off x="1247775" y="1079500"/>
              <a:ext cx="169790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𝒏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9525</xdr:colOff>
      <xdr:row>5</xdr:row>
      <xdr:rowOff>19050</xdr:rowOff>
    </xdr:from>
    <xdr:ext cx="620619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B934CB7-406B-93A8-0F24-4C776D9E9388}"/>
                </a:ext>
              </a:extLst>
            </xdr:cNvPr>
            <xdr:cNvSpPr txBox="1"/>
          </xdr:nvSpPr>
          <xdr:spPr>
            <a:xfrm>
              <a:off x="1228725" y="1352550"/>
              <a:ext cx="620619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6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600" b="1" i="1">
                            <a:latin typeface="Cambria Math" panose="02040503050406030204" pitchFamily="18" charset="0"/>
                          </a:rPr>
                          <m:t>𝒏</m:t>
                        </m:r>
                      </m:e>
                      <m:sub>
                        <m:r>
                          <a:rPr lang="es-CO" sz="1600" b="1" i="1">
                            <a:latin typeface="Cambria Math" panose="02040503050406030204" pitchFamily="18" charset="0"/>
                          </a:rPr>
                          <m:t>𝒓𝒆𝒅𝒐𝒏</m:t>
                        </m:r>
                      </m:sub>
                    </m:sSub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B934CB7-406B-93A8-0F24-4C776D9E9388}"/>
                </a:ext>
              </a:extLst>
            </xdr:cNvPr>
            <xdr:cNvSpPr txBox="1"/>
          </xdr:nvSpPr>
          <xdr:spPr>
            <a:xfrm>
              <a:off x="1228725" y="1352550"/>
              <a:ext cx="620619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𝒏_𝒓𝒆𝒅𝒐𝒏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2</xdr:col>
      <xdr:colOff>28575</xdr:colOff>
      <xdr:row>6</xdr:row>
      <xdr:rowOff>12700</xdr:rowOff>
    </xdr:from>
    <xdr:ext cx="169790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62FD918-2BFF-42DE-BAD9-BE6E9DFFD195}"/>
                </a:ext>
              </a:extLst>
            </xdr:cNvPr>
            <xdr:cNvSpPr txBox="1"/>
          </xdr:nvSpPr>
          <xdr:spPr>
            <a:xfrm>
              <a:off x="1247775" y="1079500"/>
              <a:ext cx="169790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600" b="1" i="1">
                        <a:latin typeface="Cambria Math" panose="02040503050406030204" pitchFamily="18" charset="0"/>
                      </a:rPr>
                      <m:t>𝒏</m:t>
                    </m:r>
                  </m:oMath>
                </m:oMathPara>
              </a14:m>
              <a:endParaRPr lang="en-US" sz="1600" b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62FD918-2BFF-42DE-BAD9-BE6E9DFFD195}"/>
                </a:ext>
              </a:extLst>
            </xdr:cNvPr>
            <xdr:cNvSpPr txBox="1"/>
          </xdr:nvSpPr>
          <xdr:spPr>
            <a:xfrm>
              <a:off x="1247775" y="1079500"/>
              <a:ext cx="169790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𝒏</a:t>
              </a:r>
              <a:endParaRPr lang="en-US" sz="1600" b="1"/>
            </a:p>
          </xdr:txBody>
        </xdr:sp>
      </mc:Fallback>
    </mc:AlternateContent>
    <xdr:clientData/>
  </xdr:oneCellAnchor>
  <xdr:oneCellAnchor>
    <xdr:from>
      <xdr:col>2</xdr:col>
      <xdr:colOff>9525</xdr:colOff>
      <xdr:row>7</xdr:row>
      <xdr:rowOff>19050</xdr:rowOff>
    </xdr:from>
    <xdr:ext cx="620619" cy="2528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FBB4875-C5DC-4638-9E53-83F4809F2D45}"/>
                </a:ext>
              </a:extLst>
            </xdr:cNvPr>
            <xdr:cNvSpPr txBox="1"/>
          </xdr:nvSpPr>
          <xdr:spPr>
            <a:xfrm>
              <a:off x="1228725" y="1352550"/>
              <a:ext cx="620619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6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600" b="1" i="1">
                            <a:latin typeface="Cambria Math" panose="02040503050406030204" pitchFamily="18" charset="0"/>
                          </a:rPr>
                          <m:t>𝒏</m:t>
                        </m:r>
                      </m:e>
                      <m:sub>
                        <m:r>
                          <a:rPr lang="es-CO" sz="1600" b="1" i="1">
                            <a:latin typeface="Cambria Math" panose="02040503050406030204" pitchFamily="18" charset="0"/>
                          </a:rPr>
                          <m:t>𝒓𝒆𝒅𝒐𝒏</m:t>
                        </m:r>
                      </m:sub>
                    </m:sSub>
                  </m:oMath>
                </m:oMathPara>
              </a14:m>
              <a:endParaRPr lang="en-US" sz="1100" b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FBB4875-C5DC-4638-9E53-83F4809F2D45}"/>
                </a:ext>
              </a:extLst>
            </xdr:cNvPr>
            <xdr:cNvSpPr txBox="1"/>
          </xdr:nvSpPr>
          <xdr:spPr>
            <a:xfrm>
              <a:off x="1228725" y="1352550"/>
              <a:ext cx="620619" cy="2528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600" b="1" i="0">
                  <a:latin typeface="Cambria Math" panose="02040503050406030204" pitchFamily="18" charset="0"/>
                </a:rPr>
                <a:t>𝒏_𝒓𝒆𝒅𝒐𝒏</a:t>
              </a:r>
              <a:endParaRPr lang="en-US" sz="1100" b="1"/>
            </a:p>
          </xdr:txBody>
        </xdr:sp>
      </mc:Fallback>
    </mc:AlternateContent>
    <xdr:clientData/>
  </xdr:oneCellAnchor>
  <xdr:oneCellAnchor>
    <xdr:from>
      <xdr:col>8</xdr:col>
      <xdr:colOff>536575</xdr:colOff>
      <xdr:row>6</xdr:row>
      <xdr:rowOff>114300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195C277-FCCB-4664-82CD-9FE27210F3E8}"/>
            </a:ext>
          </a:extLst>
        </xdr:cNvPr>
        <xdr:cNvSpPr txBox="1"/>
      </xdr:nvSpPr>
      <xdr:spPr>
        <a:xfrm>
          <a:off x="5870575" y="11811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536575</xdr:colOff>
      <xdr:row>6</xdr:row>
      <xdr:rowOff>114300</xdr:rowOff>
    </xdr:from>
    <xdr:ext cx="65" cy="34445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7D46F27-62E3-4695-83D0-0FDC9C3E225C}"/>
            </a:ext>
          </a:extLst>
        </xdr:cNvPr>
        <xdr:cNvSpPr txBox="1"/>
      </xdr:nvSpPr>
      <xdr:spPr>
        <a:xfrm>
          <a:off x="5870575" y="1181100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 b="0"/>
        </a:p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A957-5B5F-4CEA-975D-F0FF13A4BDA6}">
  <dimension ref="B1:I11"/>
  <sheetViews>
    <sheetView tabSelected="1" workbookViewId="0">
      <selection activeCell="D7" sqref="D7:H7"/>
    </sheetView>
  </sheetViews>
  <sheetFormatPr baseColWidth="10" defaultColWidth="8.7109375" defaultRowHeight="21" x14ac:dyDescent="0.35"/>
  <cols>
    <col min="1" max="1" width="8.7109375" style="4"/>
    <col min="2" max="2" width="20.5703125" style="4" customWidth="1"/>
    <col min="3" max="3" width="7.28515625" style="4" customWidth="1"/>
    <col min="4" max="4" width="11" style="4" customWidth="1"/>
    <col min="5" max="7" width="8.7109375" style="4"/>
    <col min="8" max="8" width="13.5703125" style="4" customWidth="1"/>
    <col min="9" max="16384" width="8.7109375" style="4"/>
  </cols>
  <sheetData>
    <row r="1" spans="2:9" x14ac:dyDescent="0.35">
      <c r="B1" s="12"/>
      <c r="C1" s="13"/>
      <c r="D1" s="14"/>
      <c r="E1" s="14"/>
      <c r="F1" s="14"/>
      <c r="G1" s="14"/>
      <c r="H1" s="14"/>
      <c r="I1" s="15"/>
    </row>
    <row r="2" spans="2:9" x14ac:dyDescent="0.35">
      <c r="B2" s="25" t="s">
        <v>0</v>
      </c>
      <c r="C2" s="26"/>
      <c r="D2" s="26"/>
      <c r="E2" s="26"/>
      <c r="F2" s="26"/>
      <c r="G2" s="26"/>
      <c r="H2" s="26"/>
      <c r="I2" s="16"/>
    </row>
    <row r="3" spans="2:9" x14ac:dyDescent="0.35">
      <c r="B3" s="27" t="s">
        <v>1</v>
      </c>
      <c r="C3" s="28"/>
      <c r="D3" s="28"/>
      <c r="E3" s="28"/>
      <c r="F3" s="28"/>
      <c r="G3" s="28"/>
      <c r="H3" s="28"/>
      <c r="I3" s="29"/>
    </row>
    <row r="4" spans="2:9" x14ac:dyDescent="0.35">
      <c r="B4" s="17"/>
      <c r="I4" s="16"/>
    </row>
    <row r="5" spans="2:9" x14ac:dyDescent="0.35">
      <c r="B5" s="18" t="s">
        <v>2</v>
      </c>
      <c r="D5" s="3">
        <v>14</v>
      </c>
      <c r="I5" s="16"/>
    </row>
    <row r="6" spans="2:9" x14ac:dyDescent="0.35">
      <c r="B6" s="17"/>
      <c r="I6" s="16"/>
    </row>
    <row r="7" spans="2:9" x14ac:dyDescent="0.35">
      <c r="B7" s="18" t="s">
        <v>3</v>
      </c>
      <c r="D7" s="24" t="s">
        <v>15</v>
      </c>
      <c r="E7" s="24"/>
      <c r="F7" s="24"/>
      <c r="G7" s="24"/>
      <c r="H7" s="24"/>
      <c r="I7" s="16"/>
    </row>
    <row r="8" spans="2:9" x14ac:dyDescent="0.35">
      <c r="B8" s="17"/>
      <c r="D8" s="24" t="s">
        <v>32</v>
      </c>
      <c r="E8" s="24"/>
      <c r="F8" s="24"/>
      <c r="G8" s="24"/>
      <c r="H8" s="24"/>
      <c r="I8" s="16"/>
    </row>
    <row r="9" spans="2:9" x14ac:dyDescent="0.35">
      <c r="B9" s="17"/>
      <c r="D9" s="24" t="s">
        <v>33</v>
      </c>
      <c r="E9" s="24"/>
      <c r="F9" s="24"/>
      <c r="G9" s="24"/>
      <c r="H9" s="24"/>
      <c r="I9" s="16"/>
    </row>
    <row r="10" spans="2:9" x14ac:dyDescent="0.35">
      <c r="B10" s="17"/>
      <c r="D10" s="24" t="s">
        <v>34</v>
      </c>
      <c r="E10" s="24"/>
      <c r="F10" s="24"/>
      <c r="G10" s="24"/>
      <c r="H10" s="24"/>
      <c r="I10" s="16"/>
    </row>
    <row r="11" spans="2:9" x14ac:dyDescent="0.35">
      <c r="B11" s="19"/>
      <c r="C11" s="20"/>
      <c r="D11" s="20"/>
      <c r="E11" s="20"/>
      <c r="F11" s="20"/>
      <c r="G11" s="20"/>
      <c r="H11" s="20"/>
      <c r="I11" s="21"/>
    </row>
  </sheetData>
  <sheetProtection algorithmName="SHA-512" hashValue="Ghnn4IvONeOjAUStcXeIuwuvgY0IoFXPRSP/aFKui+RFDcIjWezz0Lfj8+n9kbmfmk3AuZbq5o3WH+j/l9M8YQ==" saltValue="5YRoq/QLVLK79OQy8G/a/w==" spinCount="100000" sheet="1" objects="1" scenarios="1" selectLockedCells="1"/>
  <mergeCells count="6">
    <mergeCell ref="D10:H10"/>
    <mergeCell ref="B2:H2"/>
    <mergeCell ref="B3:I3"/>
    <mergeCell ref="D7:H7"/>
    <mergeCell ref="D8:H8"/>
    <mergeCell ref="D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A7CB-C535-4B19-A539-56547509A899}">
  <dimension ref="B1:L23"/>
  <sheetViews>
    <sheetView zoomScale="115" zoomScaleNormal="115" workbookViewId="0">
      <selection activeCell="D15" sqref="D15"/>
    </sheetView>
  </sheetViews>
  <sheetFormatPr baseColWidth="10" defaultColWidth="8.7109375" defaultRowHeight="21" x14ac:dyDescent="0.35"/>
  <cols>
    <col min="1" max="1" width="8.7109375" style="4"/>
    <col min="2" max="2" width="12.28515625" style="4" bestFit="1" customWidth="1"/>
    <col min="3" max="3" width="13.140625" style="4" customWidth="1"/>
    <col min="4" max="4" width="20.5703125" style="4" customWidth="1"/>
    <col min="5" max="5" width="18.28515625" style="4" bestFit="1" customWidth="1"/>
    <col min="6" max="6" width="14.140625" style="4" bestFit="1" customWidth="1"/>
    <col min="7" max="16384" width="8.7109375" style="4"/>
  </cols>
  <sheetData>
    <row r="1" spans="2:12" x14ac:dyDescent="0.35">
      <c r="D1" s="10" t="s">
        <v>4</v>
      </c>
      <c r="E1" s="1"/>
      <c r="F1" s="1"/>
      <c r="G1" s="1"/>
      <c r="H1" s="1"/>
    </row>
    <row r="2" spans="2:12" x14ac:dyDescent="0.35">
      <c r="C2" s="2"/>
      <c r="D2" s="22">
        <v>43597</v>
      </c>
    </row>
    <row r="3" spans="2:12" x14ac:dyDescent="0.35">
      <c r="C3" s="5"/>
      <c r="D3" s="22">
        <v>5086</v>
      </c>
      <c r="F3" s="4" t="s">
        <v>7</v>
      </c>
    </row>
    <row r="4" spans="2:12" x14ac:dyDescent="0.35">
      <c r="C4" s="2"/>
      <c r="D4" s="22">
        <v>0.1</v>
      </c>
    </row>
    <row r="5" spans="2:12" x14ac:dyDescent="0.35">
      <c r="B5" s="7" t="s">
        <v>5</v>
      </c>
      <c r="C5" s="2"/>
      <c r="D5" s="23">
        <v>1.645</v>
      </c>
    </row>
    <row r="6" spans="2:12" x14ac:dyDescent="0.35">
      <c r="B6" s="30" t="s">
        <v>12</v>
      </c>
      <c r="C6" s="2"/>
      <c r="D6" s="22">
        <v>1261772.0774000001</v>
      </c>
    </row>
    <row r="7" spans="2:12" x14ac:dyDescent="0.35">
      <c r="B7" s="30"/>
      <c r="C7" s="2"/>
      <c r="D7" s="22">
        <v>1299153.345</v>
      </c>
      <c r="E7" s="8"/>
      <c r="F7" s="9"/>
      <c r="G7" s="9"/>
      <c r="H7" s="9"/>
      <c r="I7" s="9"/>
      <c r="J7" s="9"/>
      <c r="K7" s="9"/>
      <c r="L7" s="7"/>
    </row>
    <row r="8" spans="2:12" x14ac:dyDescent="0.35">
      <c r="B8" s="30"/>
      <c r="C8" s="2"/>
      <c r="D8" s="22">
        <f>+SQRT(1089953343.5684)</f>
        <v>33014.44143959428</v>
      </c>
      <c r="E8" s="34" t="s">
        <v>6</v>
      </c>
      <c r="F8" s="35"/>
      <c r="G8" s="35"/>
      <c r="H8" s="35"/>
      <c r="I8" s="35"/>
      <c r="J8" s="35"/>
      <c r="K8" s="35"/>
      <c r="L8" s="7"/>
    </row>
    <row r="9" spans="2:12" x14ac:dyDescent="0.35">
      <c r="B9" s="30"/>
      <c r="C9" s="2"/>
      <c r="D9" s="22">
        <v>1244839.5263</v>
      </c>
      <c r="E9" s="24" t="s">
        <v>16</v>
      </c>
      <c r="F9" s="24"/>
      <c r="G9" s="24"/>
      <c r="H9" s="24"/>
      <c r="I9" s="24"/>
      <c r="J9" s="24"/>
      <c r="K9" s="24"/>
    </row>
    <row r="10" spans="2:12" x14ac:dyDescent="0.35">
      <c r="B10" s="30"/>
      <c r="C10" s="2"/>
      <c r="D10" s="22">
        <v>1353467.1636000001</v>
      </c>
      <c r="E10" s="24" t="s">
        <v>17</v>
      </c>
      <c r="F10" s="24"/>
      <c r="G10" s="24"/>
      <c r="H10" s="24"/>
      <c r="I10" s="24"/>
      <c r="J10" s="24"/>
      <c r="K10" s="24"/>
    </row>
    <row r="11" spans="2:12" x14ac:dyDescent="0.35">
      <c r="B11" s="31" t="s">
        <v>12</v>
      </c>
      <c r="C11" s="2"/>
      <c r="D11" s="22">
        <v>56639188381.202904</v>
      </c>
      <c r="E11" s="8"/>
      <c r="F11" s="9"/>
      <c r="G11" s="9"/>
      <c r="H11" s="9"/>
      <c r="I11" s="9"/>
      <c r="J11" s="9"/>
      <c r="K11" s="9"/>
    </row>
    <row r="12" spans="2:12" x14ac:dyDescent="0.35">
      <c r="B12" s="31"/>
      <c r="C12" s="2"/>
      <c r="D12" s="22">
        <f>+SQRT(2071672586004700000)</f>
        <v>1439330603.4419959</v>
      </c>
      <c r="E12" s="34" t="s">
        <v>6</v>
      </c>
      <c r="F12" s="35"/>
      <c r="G12" s="35"/>
      <c r="H12" s="35"/>
      <c r="I12" s="35"/>
      <c r="J12" s="35"/>
      <c r="K12" s="35"/>
    </row>
    <row r="13" spans="2:12" x14ac:dyDescent="0.35">
      <c r="B13" s="31"/>
      <c r="C13" s="2"/>
      <c r="D13" s="22">
        <v>54271268829.427399</v>
      </c>
      <c r="E13" s="24" t="s">
        <v>18</v>
      </c>
      <c r="F13" s="24"/>
      <c r="G13" s="24"/>
      <c r="H13" s="24"/>
      <c r="I13" s="24"/>
      <c r="J13" s="24"/>
      <c r="K13" s="24"/>
    </row>
    <row r="14" spans="2:12" x14ac:dyDescent="0.35">
      <c r="B14" s="32"/>
      <c r="C14" s="2"/>
      <c r="D14" s="22">
        <v>59007107932.9785</v>
      </c>
      <c r="E14" s="24" t="s">
        <v>19</v>
      </c>
      <c r="F14" s="24"/>
      <c r="G14" s="24"/>
      <c r="H14" s="24"/>
      <c r="I14" s="24"/>
      <c r="J14" s="24"/>
      <c r="K14" s="24"/>
    </row>
    <row r="15" spans="2:12" x14ac:dyDescent="0.35">
      <c r="B15" s="33" t="s">
        <v>13</v>
      </c>
      <c r="C15" s="2"/>
      <c r="D15" s="22">
        <v>2.1100000000000001E-2</v>
      </c>
    </row>
    <row r="16" spans="2:12" x14ac:dyDescent="0.35">
      <c r="B16" s="31"/>
      <c r="C16" s="2"/>
      <c r="D16" s="22">
        <v>1.9900000000000001E-2</v>
      </c>
      <c r="E16" s="8"/>
      <c r="F16" s="9"/>
      <c r="G16" s="9"/>
      <c r="H16" s="9"/>
      <c r="I16" s="9"/>
      <c r="J16" s="9"/>
      <c r="K16" s="9"/>
    </row>
    <row r="17" spans="2:11" x14ac:dyDescent="0.35">
      <c r="B17" s="31"/>
      <c r="C17" s="2"/>
      <c r="D17" s="22">
        <f>+SQRT(0)</f>
        <v>0</v>
      </c>
      <c r="E17" s="34" t="s">
        <v>6</v>
      </c>
      <c r="F17" s="35"/>
      <c r="G17" s="35"/>
      <c r="H17" s="35"/>
      <c r="I17" s="35"/>
      <c r="J17" s="35"/>
      <c r="K17" s="35"/>
    </row>
    <row r="18" spans="2:11" x14ac:dyDescent="0.35">
      <c r="B18" s="31"/>
      <c r="C18" s="2"/>
      <c r="D18" s="22">
        <v>1.6799999999999999E-2</v>
      </c>
      <c r="E18" s="24" t="s">
        <v>20</v>
      </c>
      <c r="F18" s="24"/>
      <c r="G18" s="24"/>
      <c r="H18" s="24"/>
      <c r="I18" s="24"/>
      <c r="J18" s="24"/>
      <c r="K18" s="24"/>
    </row>
    <row r="19" spans="2:11" x14ac:dyDescent="0.35">
      <c r="B19" s="32"/>
      <c r="C19" s="2"/>
      <c r="D19" s="22">
        <v>2.29E-2</v>
      </c>
      <c r="E19" s="24" t="s">
        <v>21</v>
      </c>
      <c r="F19" s="24"/>
      <c r="G19" s="24"/>
      <c r="H19" s="24"/>
      <c r="I19" s="24"/>
      <c r="J19" s="24"/>
      <c r="K19" s="24"/>
    </row>
    <row r="20" spans="2:11" x14ac:dyDescent="0.35">
      <c r="B20" s="31" t="s">
        <v>13</v>
      </c>
      <c r="C20" s="2"/>
      <c r="D20" s="22">
        <v>865.76819999999998</v>
      </c>
      <c r="E20" s="8"/>
      <c r="F20" s="9"/>
      <c r="G20" s="9"/>
      <c r="H20" s="9"/>
      <c r="I20" s="9"/>
      <c r="J20" s="9"/>
      <c r="K20" s="9"/>
    </row>
    <row r="21" spans="2:11" x14ac:dyDescent="0.35">
      <c r="B21" s="31"/>
      <c r="C21" s="2"/>
      <c r="D21" s="22">
        <f>+SQRT(6426.6444)</f>
        <v>80.166354538546912</v>
      </c>
      <c r="E21" s="34" t="s">
        <v>6</v>
      </c>
      <c r="F21" s="35"/>
      <c r="G21" s="35"/>
      <c r="H21" s="35"/>
      <c r="I21" s="35"/>
      <c r="J21" s="35"/>
      <c r="K21" s="35"/>
    </row>
    <row r="22" spans="2:11" x14ac:dyDescent="0.35">
      <c r="B22" s="31"/>
      <c r="C22" s="2"/>
      <c r="D22" s="22">
        <v>733.88220000000001</v>
      </c>
      <c r="E22" s="24" t="s">
        <v>22</v>
      </c>
      <c r="F22" s="24"/>
      <c r="G22" s="24"/>
      <c r="H22" s="24"/>
      <c r="I22" s="24"/>
      <c r="J22" s="24"/>
      <c r="K22" s="24"/>
    </row>
    <row r="23" spans="2:11" x14ac:dyDescent="0.35">
      <c r="B23" s="32"/>
      <c r="C23" s="2"/>
      <c r="D23" s="22">
        <v>997.65409999999997</v>
      </c>
      <c r="E23" s="24" t="s">
        <v>23</v>
      </c>
      <c r="F23" s="24"/>
      <c r="G23" s="24"/>
      <c r="H23" s="24"/>
      <c r="I23" s="24"/>
      <c r="J23" s="24"/>
      <c r="K23" s="24"/>
    </row>
  </sheetData>
  <sheetProtection algorithmName="SHA-512" hashValue="wPYDrjEam2PubKUbY9nqCKTVTXj30KnSsz+FRJz/3P4oODznD5WoG219JfaXKLcW2VoRd1996CzM5XTvwZr4Kw==" saltValue="+vV5gvead6H1Zcn6xcFdpg==" spinCount="100000" sheet="1" objects="1" scenarios="1" selectLockedCells="1"/>
  <mergeCells count="16">
    <mergeCell ref="B6:B10"/>
    <mergeCell ref="B11:B14"/>
    <mergeCell ref="B15:B19"/>
    <mergeCell ref="B20:B23"/>
    <mergeCell ref="E18:K18"/>
    <mergeCell ref="E19:K19"/>
    <mergeCell ref="E22:K22"/>
    <mergeCell ref="E23:K23"/>
    <mergeCell ref="E8:K8"/>
    <mergeCell ref="E12:K12"/>
    <mergeCell ref="E17:K17"/>
    <mergeCell ref="E21:K21"/>
    <mergeCell ref="E13:K13"/>
    <mergeCell ref="E14:K14"/>
    <mergeCell ref="E9:K9"/>
    <mergeCell ref="E10:K10"/>
  </mergeCells>
  <dataValidations count="1">
    <dataValidation type="decimal" allowBlank="1" showInputMessage="1" showErrorMessage="1" sqref="D2:D4 D6:D23" xr:uid="{125C9F4F-73E5-42BC-975A-AAF9B69E3FC5}">
      <formula1>0</formula1>
      <formula2>9.99999999999999E+41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4503-3146-4B4D-B0C6-3125E925E2ED}">
  <dimension ref="B1:K30"/>
  <sheetViews>
    <sheetView workbookViewId="0">
      <selection activeCell="E29" sqref="E29:K29"/>
    </sheetView>
  </sheetViews>
  <sheetFormatPr baseColWidth="10" defaultColWidth="8.7109375" defaultRowHeight="21" x14ac:dyDescent="0.35"/>
  <cols>
    <col min="1" max="1" width="8.7109375" style="4"/>
    <col min="2" max="2" width="12.85546875" style="4" bestFit="1" customWidth="1"/>
    <col min="3" max="3" width="12.42578125" style="4" customWidth="1"/>
    <col min="4" max="4" width="20.7109375" style="4" customWidth="1"/>
    <col min="5" max="16384" width="8.7109375" style="4"/>
  </cols>
  <sheetData>
    <row r="1" spans="2:11" x14ac:dyDescent="0.35">
      <c r="D1" s="10" t="s">
        <v>4</v>
      </c>
    </row>
    <row r="2" spans="2:11" x14ac:dyDescent="0.35">
      <c r="B2" s="7" t="s">
        <v>5</v>
      </c>
      <c r="C2" s="2"/>
      <c r="D2" s="22">
        <v>85728</v>
      </c>
    </row>
    <row r="3" spans="2:11" x14ac:dyDescent="0.35">
      <c r="B3" s="33" t="s">
        <v>12</v>
      </c>
      <c r="C3" s="2"/>
      <c r="D3" s="22">
        <v>10001</v>
      </c>
      <c r="F3" s="4" t="s">
        <v>9</v>
      </c>
    </row>
    <row r="4" spans="2:11" x14ac:dyDescent="0.35">
      <c r="B4" s="32"/>
      <c r="C4" s="2"/>
      <c r="D4" s="22">
        <v>0.05</v>
      </c>
      <c r="F4" s="4" t="s">
        <v>10</v>
      </c>
    </row>
    <row r="5" spans="2:11" x14ac:dyDescent="0.35">
      <c r="B5" s="1" t="s">
        <v>8</v>
      </c>
      <c r="C5" s="2"/>
      <c r="D5" s="22">
        <v>1.96</v>
      </c>
    </row>
    <row r="6" spans="2:11" x14ac:dyDescent="0.35">
      <c r="B6" s="6">
        <v>1</v>
      </c>
      <c r="C6" s="2"/>
      <c r="D6" s="22">
        <v>43597</v>
      </c>
    </row>
    <row r="7" spans="2:11" x14ac:dyDescent="0.35">
      <c r="B7" s="6">
        <v>2</v>
      </c>
      <c r="C7" s="2"/>
      <c r="D7" s="22">
        <v>38644</v>
      </c>
    </row>
    <row r="8" spans="2:11" x14ac:dyDescent="0.35">
      <c r="B8" s="6">
        <v>3</v>
      </c>
      <c r="C8" s="2"/>
      <c r="D8" s="22">
        <v>3487</v>
      </c>
    </row>
    <row r="9" spans="2:11" x14ac:dyDescent="0.35">
      <c r="B9" s="11">
        <v>1</v>
      </c>
      <c r="C9" s="2"/>
      <c r="D9" s="22">
        <v>5086</v>
      </c>
    </row>
    <row r="10" spans="2:11" x14ac:dyDescent="0.35">
      <c r="B10" s="11">
        <v>2</v>
      </c>
      <c r="C10" s="2"/>
      <c r="D10" s="22">
        <v>4508</v>
      </c>
    </row>
    <row r="11" spans="2:11" x14ac:dyDescent="0.35">
      <c r="B11" s="11">
        <v>3</v>
      </c>
      <c r="C11" s="2"/>
      <c r="D11" s="22">
        <v>407</v>
      </c>
    </row>
    <row r="12" spans="2:11" x14ac:dyDescent="0.35">
      <c r="B12" s="6">
        <v>1</v>
      </c>
      <c r="C12" s="2"/>
      <c r="D12" s="22">
        <v>1.96</v>
      </c>
    </row>
    <row r="13" spans="2:11" x14ac:dyDescent="0.35">
      <c r="B13" s="6">
        <v>2</v>
      </c>
      <c r="C13" s="2"/>
      <c r="D13" s="22">
        <v>1.96</v>
      </c>
    </row>
    <row r="14" spans="2:11" x14ac:dyDescent="0.35">
      <c r="B14" s="6">
        <v>3</v>
      </c>
      <c r="C14" s="2"/>
      <c r="D14" s="22">
        <v>1.9670000000000001</v>
      </c>
    </row>
    <row r="15" spans="2:11" x14ac:dyDescent="0.35">
      <c r="B15" s="36">
        <v>1</v>
      </c>
      <c r="C15" s="2"/>
      <c r="D15" s="22">
        <v>1299153.345</v>
      </c>
    </row>
    <row r="16" spans="2:11" x14ac:dyDescent="0.35">
      <c r="B16" s="36"/>
      <c r="C16" s="2"/>
      <c r="D16" s="22">
        <f>+SQRT(1089953343.5684)</f>
        <v>33014.44143959428</v>
      </c>
      <c r="E16" s="34" t="s">
        <v>6</v>
      </c>
      <c r="F16" s="35"/>
      <c r="G16" s="35"/>
      <c r="H16" s="35"/>
      <c r="I16" s="35"/>
      <c r="J16" s="35"/>
      <c r="K16" s="35"/>
    </row>
    <row r="17" spans="2:11" x14ac:dyDescent="0.35">
      <c r="B17" s="36"/>
      <c r="C17" s="2"/>
      <c r="D17" s="22">
        <v>1234430.8232</v>
      </c>
      <c r="E17" s="24" t="s">
        <v>24</v>
      </c>
      <c r="F17" s="24"/>
      <c r="G17" s="24"/>
      <c r="H17" s="24"/>
      <c r="I17" s="24"/>
      <c r="J17" s="24"/>
      <c r="K17" s="24"/>
    </row>
    <row r="18" spans="2:11" x14ac:dyDescent="0.35">
      <c r="B18" s="36"/>
      <c r="C18" s="2"/>
      <c r="D18" s="22">
        <v>1363875.8668</v>
      </c>
      <c r="E18" s="24" t="s">
        <v>25</v>
      </c>
      <c r="F18" s="24"/>
      <c r="G18" s="24"/>
      <c r="H18" s="24"/>
      <c r="I18" s="24"/>
      <c r="J18" s="24"/>
      <c r="K18" s="24"/>
    </row>
    <row r="19" spans="2:11" x14ac:dyDescent="0.35">
      <c r="B19" s="37">
        <v>2</v>
      </c>
      <c r="C19" s="2"/>
      <c r="D19" s="22">
        <v>2386123.2036000001</v>
      </c>
    </row>
    <row r="20" spans="2:11" x14ac:dyDescent="0.35">
      <c r="B20" s="37"/>
      <c r="C20" s="2"/>
      <c r="D20" s="22">
        <f>+SQRT(8646467582.3311)</f>
        <v>92986.383854471409</v>
      </c>
      <c r="E20" s="34" t="s">
        <v>6</v>
      </c>
      <c r="F20" s="35"/>
      <c r="G20" s="35"/>
      <c r="H20" s="35"/>
      <c r="I20" s="35"/>
      <c r="J20" s="35"/>
      <c r="K20" s="35"/>
    </row>
    <row r="21" spans="2:11" x14ac:dyDescent="0.35">
      <c r="B21" s="37"/>
      <c r="C21" s="2"/>
      <c r="D21" s="22">
        <v>2203824.2836000002</v>
      </c>
      <c r="E21" s="24" t="s">
        <v>26</v>
      </c>
      <c r="F21" s="24"/>
      <c r="G21" s="24"/>
      <c r="H21" s="24"/>
      <c r="I21" s="24"/>
      <c r="J21" s="24"/>
      <c r="K21" s="24"/>
    </row>
    <row r="22" spans="2:11" x14ac:dyDescent="0.35">
      <c r="B22" s="37"/>
      <c r="C22" s="2"/>
      <c r="D22" s="22">
        <v>2568422.1235000002</v>
      </c>
      <c r="E22" s="24" t="s">
        <v>27</v>
      </c>
      <c r="F22" s="24"/>
      <c r="G22" s="24"/>
      <c r="H22" s="24"/>
      <c r="I22" s="24"/>
      <c r="J22" s="24"/>
      <c r="K22" s="24"/>
    </row>
    <row r="23" spans="2:11" x14ac:dyDescent="0.35">
      <c r="B23" s="36">
        <v>3</v>
      </c>
      <c r="C23" s="2"/>
      <c r="D23" s="22">
        <v>6499576.7599999998</v>
      </c>
    </row>
    <row r="24" spans="2:11" x14ac:dyDescent="0.35">
      <c r="B24" s="36"/>
      <c r="C24" s="2"/>
      <c r="D24" s="22">
        <f>+SQRT(95566849112.1055)</f>
        <v>309138.8832096433</v>
      </c>
      <c r="E24" s="34" t="s">
        <v>6</v>
      </c>
      <c r="F24" s="35"/>
      <c r="G24" s="35"/>
      <c r="H24" s="35"/>
      <c r="I24" s="35"/>
      <c r="J24" s="35"/>
      <c r="K24" s="35"/>
    </row>
    <row r="25" spans="2:11" x14ac:dyDescent="0.35">
      <c r="B25" s="36"/>
      <c r="C25" s="2"/>
      <c r="D25" s="22">
        <v>5891864.0689000003</v>
      </c>
      <c r="E25" s="24" t="s">
        <v>28</v>
      </c>
      <c r="F25" s="24"/>
      <c r="G25" s="24"/>
      <c r="H25" s="24"/>
      <c r="I25" s="24"/>
      <c r="J25" s="24"/>
      <c r="K25" s="24"/>
    </row>
    <row r="26" spans="2:11" x14ac:dyDescent="0.35">
      <c r="B26" s="36"/>
      <c r="C26" s="2"/>
      <c r="D26" s="22">
        <v>7107289.4511000002</v>
      </c>
      <c r="E26" s="24" t="s">
        <v>29</v>
      </c>
      <c r="F26" s="24"/>
      <c r="G26" s="24"/>
      <c r="H26" s="24"/>
      <c r="I26" s="24"/>
      <c r="J26" s="24"/>
      <c r="K26" s="24"/>
    </row>
    <row r="27" spans="2:11" x14ac:dyDescent="0.35">
      <c r="B27" s="30" t="s">
        <v>14</v>
      </c>
      <c r="C27" s="2"/>
      <c r="D27" s="22">
        <v>2000659.7334</v>
      </c>
    </row>
    <row r="28" spans="2:11" x14ac:dyDescent="0.35">
      <c r="B28" s="30"/>
      <c r="C28" s="2"/>
      <c r="D28" s="22">
        <f>+SQRT(2196942016.157)</f>
        <v>46871.548045237425</v>
      </c>
      <c r="E28" s="34" t="s">
        <v>6</v>
      </c>
      <c r="F28" s="35"/>
      <c r="G28" s="35"/>
      <c r="H28" s="35"/>
      <c r="I28" s="35"/>
      <c r="J28" s="35"/>
      <c r="K28" s="35"/>
    </row>
    <row r="29" spans="2:11" x14ac:dyDescent="0.35">
      <c r="B29" s="30"/>
      <c r="C29" s="2"/>
      <c r="D29" s="22">
        <v>1908782.0578999999</v>
      </c>
      <c r="E29" s="24" t="s">
        <v>30</v>
      </c>
      <c r="F29" s="24"/>
      <c r="G29" s="24"/>
      <c r="H29" s="24"/>
      <c r="I29" s="24"/>
      <c r="J29" s="24"/>
      <c r="K29" s="24"/>
    </row>
    <row r="30" spans="2:11" x14ac:dyDescent="0.35">
      <c r="B30" s="30"/>
      <c r="C30" s="2"/>
      <c r="D30" s="22">
        <v>2092537.4088999999</v>
      </c>
      <c r="E30" s="24" t="s">
        <v>31</v>
      </c>
      <c r="F30" s="24"/>
      <c r="G30" s="24"/>
      <c r="H30" s="24"/>
      <c r="I30" s="24"/>
      <c r="J30" s="24"/>
      <c r="K30" s="24"/>
    </row>
  </sheetData>
  <sheetProtection algorithmName="SHA-512" hashValue="DkYwSh4XNpIKB9BwTsRFOutUTIm9uMzXi9Yyn6dIIt7yRIxG+PRyYQ8qWbGgZ455DBQQLd8tvOfNsyiF1QGplA==" saltValue="04ea0v5OLxsxNXzd3BNoEQ==" spinCount="100000" sheet="1" objects="1" scenarios="1" selectLockedCells="1"/>
  <mergeCells count="17">
    <mergeCell ref="E28:K28"/>
    <mergeCell ref="E29:K29"/>
    <mergeCell ref="B27:B30"/>
    <mergeCell ref="E30:K30"/>
    <mergeCell ref="B3:B4"/>
    <mergeCell ref="B15:B18"/>
    <mergeCell ref="B19:B22"/>
    <mergeCell ref="B23:B26"/>
    <mergeCell ref="E16:K16"/>
    <mergeCell ref="E17:K17"/>
    <mergeCell ref="E18:K18"/>
    <mergeCell ref="E20:K20"/>
    <mergeCell ref="E21:K21"/>
    <mergeCell ref="E22:K22"/>
    <mergeCell ref="E24:K24"/>
    <mergeCell ref="E25:K25"/>
    <mergeCell ref="E26:K26"/>
  </mergeCells>
  <dataValidations count="1">
    <dataValidation type="decimal" allowBlank="1" showInputMessage="1" showErrorMessage="1" sqref="D2:D30" xr:uid="{5BAA9BC8-A521-4DD3-BDF1-B6F6F8E84ED1}">
      <formula1>0</formula1>
      <formula2>9.99999999999999E+38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5546-E834-4A6D-9FDB-04EAFCC13ACF}">
  <dimension ref="B1:K8"/>
  <sheetViews>
    <sheetView workbookViewId="0">
      <selection activeCell="D7" sqref="D7"/>
    </sheetView>
  </sheetViews>
  <sheetFormatPr baseColWidth="10" defaultColWidth="8.7109375" defaultRowHeight="21" x14ac:dyDescent="0.35"/>
  <cols>
    <col min="1" max="1" width="8.7109375" style="4"/>
    <col min="2" max="2" width="12" style="4" bestFit="1" customWidth="1"/>
    <col min="3" max="3" width="8.7109375" style="4"/>
    <col min="4" max="4" width="18.28515625" style="4" customWidth="1"/>
    <col min="5" max="16384" width="8.7109375" style="4"/>
  </cols>
  <sheetData>
    <row r="1" spans="2:11" x14ac:dyDescent="0.35">
      <c r="D1" s="7" t="s">
        <v>4</v>
      </c>
    </row>
    <row r="2" spans="2:11" x14ac:dyDescent="0.35">
      <c r="C2" s="2"/>
      <c r="D2" s="22">
        <v>0.1</v>
      </c>
    </row>
    <row r="3" spans="2:11" x14ac:dyDescent="0.35">
      <c r="B3" s="7"/>
      <c r="C3" s="2"/>
      <c r="D3" s="22">
        <v>1.644854</v>
      </c>
    </row>
    <row r="4" spans="2:11" x14ac:dyDescent="0.35">
      <c r="B4" s="1" t="s">
        <v>5</v>
      </c>
      <c r="C4" s="2"/>
      <c r="D4" s="22">
        <v>600000</v>
      </c>
      <c r="E4" s="34" t="s">
        <v>11</v>
      </c>
      <c r="F4" s="35"/>
      <c r="G4" s="35"/>
      <c r="H4" s="35"/>
      <c r="I4" s="35"/>
      <c r="J4" s="35"/>
      <c r="K4" s="35"/>
    </row>
    <row r="5" spans="2:11" x14ac:dyDescent="0.35">
      <c r="B5" s="30" t="s">
        <v>12</v>
      </c>
      <c r="C5" s="2"/>
      <c r="D5" s="22">
        <v>1.4746049999999999E-5</v>
      </c>
      <c r="E5" s="24"/>
      <c r="F5" s="24"/>
      <c r="G5" s="24"/>
      <c r="H5" s="24"/>
      <c r="I5" s="24"/>
      <c r="J5" s="24"/>
      <c r="K5" s="24"/>
    </row>
    <row r="6" spans="2:11" x14ac:dyDescent="0.35">
      <c r="B6" s="30"/>
      <c r="C6" s="2"/>
      <c r="D6" s="22">
        <v>152</v>
      </c>
      <c r="E6" s="24"/>
      <c r="F6" s="24"/>
      <c r="G6" s="24"/>
      <c r="H6" s="24"/>
      <c r="I6" s="24"/>
      <c r="J6" s="24"/>
      <c r="K6" s="24"/>
    </row>
    <row r="7" spans="2:11" x14ac:dyDescent="0.35">
      <c r="B7" s="30" t="s">
        <v>13</v>
      </c>
      <c r="C7" s="2"/>
      <c r="D7" s="22">
        <v>299.38010000000003</v>
      </c>
      <c r="E7" s="24"/>
      <c r="F7" s="24"/>
      <c r="G7" s="24"/>
      <c r="H7" s="24"/>
      <c r="I7" s="24"/>
      <c r="J7" s="24"/>
      <c r="K7" s="24"/>
    </row>
    <row r="8" spans="2:11" x14ac:dyDescent="0.35">
      <c r="B8" s="30"/>
      <c r="C8" s="2"/>
      <c r="D8" s="22">
        <v>85552</v>
      </c>
      <c r="E8" s="24"/>
      <c r="F8" s="24"/>
      <c r="G8" s="24"/>
      <c r="H8" s="24"/>
      <c r="I8" s="24"/>
      <c r="J8" s="24"/>
      <c r="K8" s="24"/>
    </row>
  </sheetData>
  <sheetProtection algorithmName="SHA-512" hashValue="4mGbxJX9MlM/RVqOE+LdUei4VwymQ8glriwelJlUr6mGie1X0T7v35iVjO2r4bRGev6QZ/QItrKf/cgqmspvMA==" saltValue="ijtkacMtuX6knxcmTYNasw==" spinCount="100000" sheet="1" objects="1" scenarios="1" selectLockedCells="1"/>
  <mergeCells count="7">
    <mergeCell ref="B5:B6"/>
    <mergeCell ref="B7:B8"/>
    <mergeCell ref="E4:K4"/>
    <mergeCell ref="E5:K5"/>
    <mergeCell ref="E6:K6"/>
    <mergeCell ref="E7:K7"/>
    <mergeCell ref="E8:K8"/>
  </mergeCells>
  <dataValidations count="1">
    <dataValidation type="decimal" allowBlank="1" showInputMessage="1" showErrorMessage="1" sqref="D2:D8" xr:uid="{4A071DEF-F548-41F6-A736-A12FF90DC1ED}">
      <formula1>0</formula1>
      <formula2>9.99999999999999E+38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Información</vt:lpstr>
      <vt:lpstr>Primer_punto</vt:lpstr>
      <vt:lpstr>Segundo_punto</vt:lpstr>
      <vt:lpstr>Tercer_punto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Carmona Hincapié</dc:creator>
  <cp:lastModifiedBy>DAVID VILLA ALZATE</cp:lastModifiedBy>
  <dcterms:created xsi:type="dcterms:W3CDTF">2025-02-24T12:37:53Z</dcterms:created>
  <dcterms:modified xsi:type="dcterms:W3CDTF">2025-07-23T16:28:21Z</dcterms:modified>
</cp:coreProperties>
</file>